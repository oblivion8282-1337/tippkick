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V.O.T.Z.E\Tippzettel 2026-2027\"/>
    </mc:Choice>
  </mc:AlternateContent>
  <xr:revisionPtr revIDLastSave="0" documentId="13_ncr:1_{E6C54BE7-9D57-47C8-8F35-50FE1CC1BA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3.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" i="1" l="1"/>
  <c r="D36" i="1" s="1"/>
  <c r="K7" i="1"/>
  <c r="K8" i="1"/>
  <c r="K9" i="1"/>
  <c r="K10" i="1"/>
  <c r="K11" i="1"/>
  <c r="K12" i="1"/>
  <c r="K13" i="1"/>
  <c r="K14" i="1"/>
  <c r="K18" i="1"/>
  <c r="F36" i="1" s="1"/>
  <c r="K19" i="1"/>
  <c r="K20" i="1"/>
  <c r="K21" i="1"/>
  <c r="K22" i="1"/>
  <c r="K23" i="1"/>
  <c r="K24" i="1"/>
  <c r="K25" i="1"/>
  <c r="K26" i="1"/>
  <c r="K36" i="1" l="1"/>
</calcChain>
</file>

<file path=xl/sharedStrings.xml><?xml version="1.0" encoding="utf-8"?>
<sst xmlns="http://schemas.openxmlformats.org/spreadsheetml/2006/main" count="123" uniqueCount="64">
  <si>
    <t>Name:</t>
  </si>
  <si>
    <t xml:space="preserve"> </t>
  </si>
  <si>
    <t>Tipp</t>
  </si>
  <si>
    <t>Ergeb.</t>
  </si>
  <si>
    <t>Pkt.</t>
  </si>
  <si>
    <t>:</t>
  </si>
  <si>
    <t>2. Liga</t>
  </si>
  <si>
    <t>Ges</t>
  </si>
  <si>
    <t>Total</t>
  </si>
  <si>
    <t>Deadline: Eine Minute vor Beginn des</t>
  </si>
  <si>
    <t>ersten zum Tipptag zählenden Spiels!</t>
  </si>
  <si>
    <t>mail tippleitung:</t>
  </si>
  <si>
    <t>per whatsapp oder sms:</t>
  </si>
  <si>
    <t>01717814969 (bächli)</t>
  </si>
  <si>
    <t>01711991816 (jukkel)</t>
  </si>
  <si>
    <t>rainer.muenchenbach@t-online.de (bächli)</t>
  </si>
  <si>
    <t>1. Liga</t>
  </si>
  <si>
    <t>Sämtliche 18 Tipps müssen bis zur Deadline</t>
  </si>
  <si>
    <t>vollständig vorliegen!</t>
  </si>
  <si>
    <t>fr</t>
  </si>
  <si>
    <t>sa</t>
  </si>
  <si>
    <t>so</t>
  </si>
  <si>
    <t>winzer@ttmediaworld.de (jukkel)</t>
  </si>
  <si>
    <t>Saison 26/27</t>
  </si>
  <si>
    <t>13.TT</t>
  </si>
  <si>
    <t>04.12. - 06.12.</t>
  </si>
  <si>
    <t>12. Spieltag</t>
  </si>
  <si>
    <t>14. Spieltag</t>
  </si>
  <si>
    <t>FC Bayern München</t>
  </si>
  <si>
    <t>SC Paderborn 07</t>
  </si>
  <si>
    <t>Eintracht Frankfurt</t>
  </si>
  <si>
    <t>SV Werder Bremen</t>
  </si>
  <si>
    <t>FC Schalke 04</t>
  </si>
  <si>
    <t>Bor. Dortmund</t>
  </si>
  <si>
    <t>Bayer 04 Leverkusen</t>
  </si>
  <si>
    <t>Bor. Mönchengladbach</t>
  </si>
  <si>
    <t>SC Freiburg</t>
  </si>
  <si>
    <t>TSG Hoffenheim</t>
  </si>
  <si>
    <t>1. FC Union Berlin</t>
  </si>
  <si>
    <t>Hamburger SV</t>
  </si>
  <si>
    <t>FC Augsburg</t>
  </si>
  <si>
    <t>1. FC Köln</t>
  </si>
  <si>
    <t>RB Leipzig</t>
  </si>
  <si>
    <t>1. FSV Mainz 05</t>
  </si>
  <si>
    <t>SV Elversberg</t>
  </si>
  <si>
    <t>VfB Stuttgart</t>
  </si>
  <si>
    <t>1. FC Kaiserslautern</t>
  </si>
  <si>
    <t>SpVgg Greuther Fürth</t>
  </si>
  <si>
    <t>1. FC Nürnberg</t>
  </si>
  <si>
    <t>VfL Bochum</t>
  </si>
  <si>
    <t>Karlsruher SC</t>
  </si>
  <si>
    <t>Holstein Kiel</t>
  </si>
  <si>
    <t>Hannover 96</t>
  </si>
  <si>
    <t>Hertha BSC</t>
  </si>
  <si>
    <t>Arminia Bielefeld</t>
  </si>
  <si>
    <t>Dynamo Dresden</t>
  </si>
  <si>
    <t>VfL Wolfsburg</t>
  </si>
  <si>
    <t>1. FC Magdeburg</t>
  </si>
  <si>
    <t>FC St. Pauli</t>
  </si>
  <si>
    <t>1. FC Heidenheim</t>
  </si>
  <si>
    <t>FC Energie Cottbus</t>
  </si>
  <si>
    <t>VfL Osnabrück</t>
  </si>
  <si>
    <t>SV Darmstadt 98</t>
  </si>
  <si>
    <t>Eintr. Braunschweig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</si>
</sst>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2"/>
      <name val="Arial"/>
    </font>
    <font>
      <b/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8"/>
      <color indexed="63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10"/>
      <color rgb="FFFF0000"/>
      <name val="Arial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0" borderId="0" xfId="0" applyAlignment="1">
      <alignment horizontal="center"/>
    </xf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2" fillId="0" borderId="0" xfId="0" applyFont="1"/>
    <xf numFmtId="15" fontId="3" fillId="0" borderId="0" xfId="0" applyNumberFormat="1" applyFont="1"/>
    <xf numFmtId="0" fontId="4" fillId="0" borderId="0" xfId="0" applyFont="1"/>
    <xf numFmtId="0" fontId="5" fillId="0" borderId="0" xfId="0" applyFont="1"/>
    <xf numFmtId="0" fontId="1" fillId="0" borderId="6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1" fillId="0" borderId="7" xfId="0" applyFont="1" applyBorder="1" applyAlignment="1">
      <alignment horizontal="centerContinuous"/>
    </xf>
    <xf numFmtId="0" fontId="1" fillId="0" borderId="0" xfId="0" applyFont="1"/>
    <xf numFmtId="0" fontId="6" fillId="0" borderId="0" xfId="0" applyFont="1" applyAlignment="1">
      <alignment horizontal="right"/>
    </xf>
    <xf numFmtId="0" fontId="9" fillId="0" borderId="0" xfId="0" applyFont="1"/>
    <xf numFmtId="0" fontId="9" fillId="0" borderId="0" xfId="0" applyFont="1" applyAlignment="1">
      <alignment horizontal="center"/>
    </xf>
    <xf numFmtId="0" fontId="6" fillId="0" borderId="2" xfId="0" applyFont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0" fillId="0" borderId="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7" fillId="0" borderId="2" xfId="0" applyFont="1" applyBorder="1" applyAlignment="1">
      <alignment horizontal="left" vertical="center" wrapText="1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vertical="center"/>
    </xf>
    <xf numFmtId="0" fontId="1" fillId="0" borderId="0" xfId="0" applyFont="1" applyAlignment="1">
      <alignment vertical="center"/>
    </xf>
    <xf numFmtId="0" fontId="1" fillId="3" borderId="6" xfId="0" applyFont="1" applyFill="1" applyBorder="1"/>
    <xf numFmtId="0" fontId="1" fillId="3" borderId="4" xfId="0" applyFont="1" applyFill="1" applyBorder="1" applyAlignment="1">
      <alignment horizontal="center"/>
    </xf>
    <xf numFmtId="0" fontId="1" fillId="3" borderId="7" xfId="0" applyFont="1" applyFill="1" applyBorder="1"/>
    <xf numFmtId="0" fontId="10" fillId="2" borderId="0" xfId="0" applyFont="1" applyFill="1"/>
    <xf numFmtId="0" fontId="1" fillId="0" borderId="0" xfId="0" applyFont="1" applyAlignment="1">
      <alignment vertical="top"/>
    </xf>
    <xf numFmtId="0" fontId="11" fillId="0" borderId="0" xfId="0" applyFont="1"/>
    <xf numFmtId="0" fontId="6" fillId="0" borderId="0" xfId="0" applyFont="1"/>
    <xf numFmtId="0" fontId="6" fillId="0" borderId="0" xfId="0" quotePrefix="1" applyFont="1"/>
    <xf numFmtId="0" fontId="12" fillId="0" borderId="0" xfId="0" applyFont="1" applyAlignment="1">
      <alignment vertical="top"/>
    </xf>
    <xf numFmtId="0" fontId="10" fillId="0" borderId="0" xfId="0" applyFont="1" applyAlignment="1">
      <alignment vertical="top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3" fillId="0" borderId="12" xfId="0" applyFont="1" applyBorder="1"/>
    <xf numFmtId="0" fontId="0" fillId="0" borderId="13" xfId="0" applyBorder="1"/>
    <xf numFmtId="0" fontId="0" fillId="4" borderId="1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3" xfId="0" applyFill="1" applyBorder="1"/>
    <xf numFmtId="0" fontId="0" fillId="4" borderId="0" xfId="0" applyFill="1"/>
    <xf numFmtId="0" fontId="0" fillId="4" borderId="12" xfId="0" applyFill="1" applyBorder="1"/>
    <xf numFmtId="0" fontId="0" fillId="4" borderId="0" xfId="0" applyFill="1" applyAlignment="1">
      <alignment horizontal="center"/>
    </xf>
    <xf numFmtId="0" fontId="0" fillId="0" borderId="9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0" xfId="0" applyFont="1" applyBorder="1" applyAlignment="1" applyProtection="1">
      <alignment horizontal="center" vertical="center"/>
      <protection locked="0"/>
    </xf>
    <xf numFmtId="0" fontId="0" fillId="0" borderId="4" xfId="0" applyBorder="1" applyAlignment="1" applyProtection="1">
      <alignment horizontal="center" vertical="center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13" fillId="0" borderId="12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4" xfId="0" applyBorder="1" applyAlignment="1">
      <alignment horizontal="center"/>
    </xf>
    <xf numFmtId="14" fontId="0" fillId="0" borderId="14" xfId="0" applyNumberFormat="1" applyBorder="1" applyAlignment="1">
      <alignment horizontal="center"/>
    </xf>
    <xf numFmtId="14" fontId="0" fillId="0" borderId="16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 applyAlignment="1">
      <alignment horizontal="center"/>
    </xf>
    <xf numFmtId="0" fontId="13" fillId="0" borderId="8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13" fillId="0" borderId="15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/>
    </xf>
  </cellXfs>
  <cellStyles count="1">
    <cellStyle name="Standard" xfId="0" builtinId="0"/>
  </cellStyles>
  <dxfs count="1">
    <dxf>
      <font>
        <condense val="0"/>
        <extend val="0"/>
        <color auto="1"/>
      </font>
      <fill>
        <patternFill>
          <bgColor indexed="43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P43"/>
  <sheetViews>
    <sheetView tabSelected="1" zoomScale="95" zoomScaleNormal="95" workbookViewId="0">
      <selection activeCell="S14" sqref="S14"/>
    </sheetView>
  </sheetViews>
  <sheetFormatPr baseColWidth="10" defaultRowHeight="15" x14ac:dyDescent="0.2"/>
  <cols>
    <col min="1" max="1" width="17.77734375" customWidth="1"/>
    <col min="2" max="2" width="1.44140625" style="1" customWidth="1"/>
    <col min="3" max="3" width="17.77734375" customWidth="1"/>
    <col min="4" max="4" width="6.77734375" style="1" customWidth="1"/>
    <col min="5" max="5" width="1.33203125" style="1" customWidth="1"/>
    <col min="6" max="6" width="6.77734375" style="1" customWidth="1"/>
    <col min="7" max="7" width="1.6640625" customWidth="1"/>
    <col min="8" max="8" width="2.6640625" style="1" customWidth="1"/>
    <col min="9" max="9" width="1.33203125" style="1" customWidth="1"/>
    <col min="10" max="10" width="2.6640625" style="1" customWidth="1"/>
    <col min="11" max="11" width="4.33203125" customWidth="1"/>
    <col min="12" max="13" width="4.109375" customWidth="1"/>
    <col min="14" max="14" width="4.77734375" bestFit="1" customWidth="1"/>
    <col min="15" max="15" width="4.6640625" customWidth="1"/>
  </cols>
  <sheetData>
    <row r="1" spans="1:16" s="20" customFormat="1" ht="20.25" x14ac:dyDescent="0.2">
      <c r="A1" s="25" t="s">
        <v>24</v>
      </c>
      <c r="B1" s="26"/>
      <c r="C1" s="27"/>
      <c r="D1" s="25" t="s">
        <v>23</v>
      </c>
      <c r="E1" s="26"/>
      <c r="F1" s="26"/>
      <c r="G1" s="27"/>
      <c r="H1" s="26"/>
      <c r="I1" s="26"/>
      <c r="J1" s="26"/>
      <c r="K1" s="27"/>
      <c r="M1" s="28"/>
    </row>
    <row r="2" spans="1:16" ht="12" customHeight="1" x14ac:dyDescent="0.3">
      <c r="D2" s="6"/>
      <c r="M2" s="11"/>
    </row>
    <row r="3" spans="1:16" ht="20.100000000000001" customHeight="1" x14ac:dyDescent="0.2">
      <c r="A3" s="32" t="s">
        <v>25</v>
      </c>
      <c r="B3" s="24"/>
      <c r="C3" s="12" t="s">
        <v>0</v>
      </c>
      <c r="D3" s="51"/>
      <c r="E3" s="52"/>
      <c r="F3" s="52"/>
      <c r="G3" s="52"/>
      <c r="H3" s="52"/>
      <c r="I3" s="52"/>
      <c r="J3" s="53"/>
      <c r="K3" t="s">
        <v>1</v>
      </c>
      <c r="L3" t="s">
        <v>1</v>
      </c>
      <c r="M3" t="s">
        <v>1</v>
      </c>
    </row>
    <row r="4" spans="1:16" ht="15" customHeight="1" x14ac:dyDescent="0.3">
      <c r="A4" s="7"/>
      <c r="C4" s="4"/>
    </row>
    <row r="5" spans="1:16" ht="15.75" x14ac:dyDescent="0.25">
      <c r="A5" s="29" t="s">
        <v>16</v>
      </c>
      <c r="B5" s="30"/>
      <c r="C5" s="31" t="s">
        <v>26</v>
      </c>
      <c r="D5" s="8" t="s">
        <v>2</v>
      </c>
      <c r="E5" s="9"/>
      <c r="F5" s="10"/>
      <c r="G5" s="2"/>
      <c r="H5" s="8" t="s">
        <v>3</v>
      </c>
      <c r="I5" s="9"/>
      <c r="J5" s="10"/>
      <c r="K5" s="3" t="s">
        <v>4</v>
      </c>
    </row>
    <row r="6" spans="1:16" s="20" customFormat="1" ht="24.95" customHeight="1" x14ac:dyDescent="0.2">
      <c r="A6" s="15" t="s">
        <v>28</v>
      </c>
      <c r="B6" s="16" t="s">
        <v>5</v>
      </c>
      <c r="C6" s="17" t="s">
        <v>29</v>
      </c>
      <c r="D6" s="18"/>
      <c r="E6" s="19" t="s">
        <v>5</v>
      </c>
      <c r="F6" s="19"/>
      <c r="H6" s="19"/>
      <c r="I6" s="19" t="s">
        <v>5</v>
      </c>
      <c r="J6" s="19"/>
      <c r="K6" s="19" t="str">
        <f>IF(ISBLANK($H6),"",(IF(ISBLANK(D6),0,IF((($H6=D6)*($J6=F6))*NOT(ISBLANK($H6)),1,0)+((($H6&gt;$J6)*(D6&gt;F6))+(($H6&lt;$J6)*(D6&lt;F6))+(($H6=$J6)*(D6=F6)))-ISBLANK($H6)*(D6=F6)+(($H6-$J6)=(D6-F6)))))</f>
        <v/>
      </c>
      <c r="P6" s="21"/>
    </row>
    <row r="7" spans="1:16" s="20" customFormat="1" ht="24.95" customHeight="1" x14ac:dyDescent="0.2">
      <c r="A7" s="15" t="s">
        <v>30</v>
      </c>
      <c r="B7" s="16" t="s">
        <v>5</v>
      </c>
      <c r="C7" s="17" t="s">
        <v>31</v>
      </c>
      <c r="D7" s="18"/>
      <c r="E7" s="19" t="s">
        <v>5</v>
      </c>
      <c r="F7" s="19"/>
      <c r="H7" s="19"/>
      <c r="I7" s="19" t="s">
        <v>5</v>
      </c>
      <c r="J7" s="19"/>
      <c r="K7" s="19" t="str">
        <f t="shared" ref="K7:K14" si="0">IF(ISBLANK($H7),"",(IF(ISBLANK(D7),0,IF((($H7=D7)*($J7=F7))*NOT(ISBLANK($H7)),1,0)+((($H7&gt;$J7)*(D7&gt;F7))+(($H7&lt;$J7)*(D7&lt;F7))+(($H7=$J7)*(D7=F7)))-ISBLANK($H7)*(D7=F7)+(($H7-$J7)=(D7-F7)))))</f>
        <v/>
      </c>
      <c r="P7" s="21"/>
    </row>
    <row r="8" spans="1:16" s="20" customFormat="1" ht="24.95" customHeight="1" x14ac:dyDescent="0.2">
      <c r="A8" s="15" t="s">
        <v>32</v>
      </c>
      <c r="B8" s="16" t="s">
        <v>5</v>
      </c>
      <c r="C8" s="17" t="s">
        <v>33</v>
      </c>
      <c r="D8" s="18"/>
      <c r="E8" s="19" t="s">
        <v>5</v>
      </c>
      <c r="F8" s="19"/>
      <c r="H8" s="19"/>
      <c r="I8" s="19" t="s">
        <v>5</v>
      </c>
      <c r="J8" s="19"/>
      <c r="K8" s="19" t="str">
        <f t="shared" si="0"/>
        <v/>
      </c>
      <c r="P8" s="21"/>
    </row>
    <row r="9" spans="1:16" s="20" customFormat="1" ht="24.95" customHeight="1" x14ac:dyDescent="0.2">
      <c r="A9" s="15" t="s">
        <v>34</v>
      </c>
      <c r="B9" s="16" t="s">
        <v>5</v>
      </c>
      <c r="C9" s="17" t="s">
        <v>35</v>
      </c>
      <c r="D9" s="18"/>
      <c r="E9" s="19" t="s">
        <v>5</v>
      </c>
      <c r="F9" s="19"/>
      <c r="H9" s="19"/>
      <c r="I9" s="19" t="s">
        <v>5</v>
      </c>
      <c r="J9" s="19"/>
      <c r="K9" s="19" t="str">
        <f t="shared" si="0"/>
        <v/>
      </c>
      <c r="P9" s="21"/>
    </row>
    <row r="10" spans="1:16" s="20" customFormat="1" ht="24.95" customHeight="1" x14ac:dyDescent="0.2">
      <c r="A10" s="15" t="s">
        <v>36</v>
      </c>
      <c r="B10" s="16" t="s">
        <v>5</v>
      </c>
      <c r="C10" s="17" t="s">
        <v>37</v>
      </c>
      <c r="D10" s="18"/>
      <c r="E10" s="19" t="s">
        <v>5</v>
      </c>
      <c r="F10" s="19"/>
      <c r="H10" s="19"/>
      <c r="I10" s="19" t="s">
        <v>5</v>
      </c>
      <c r="J10" s="19"/>
      <c r="K10" s="19" t="str">
        <f t="shared" si="0"/>
        <v/>
      </c>
      <c r="P10" s="21"/>
    </row>
    <row r="11" spans="1:16" s="20" customFormat="1" ht="24.95" customHeight="1" x14ac:dyDescent="0.2">
      <c r="A11" s="15" t="s">
        <v>38</v>
      </c>
      <c r="B11" s="16" t="s">
        <v>5</v>
      </c>
      <c r="C11" s="17" t="s">
        <v>39</v>
      </c>
      <c r="D11" s="18"/>
      <c r="E11" s="19" t="s">
        <v>5</v>
      </c>
      <c r="F11" s="19"/>
      <c r="H11" s="19"/>
      <c r="I11" s="19" t="s">
        <v>5</v>
      </c>
      <c r="J11" s="19"/>
      <c r="K11" s="19" t="str">
        <f t="shared" si="0"/>
        <v/>
      </c>
      <c r="P11" s="21"/>
    </row>
    <row r="12" spans="1:16" s="20" customFormat="1" ht="24.95" customHeight="1" x14ac:dyDescent="0.2">
      <c r="A12" s="15" t="s">
        <v>40</v>
      </c>
      <c r="B12" s="16" t="s">
        <v>5</v>
      </c>
      <c r="C12" s="17" t="s">
        <v>41</v>
      </c>
      <c r="D12" s="18"/>
      <c r="E12" s="19" t="s">
        <v>5</v>
      </c>
      <c r="F12" s="19"/>
      <c r="H12" s="19"/>
      <c r="I12" s="19" t="s">
        <v>5</v>
      </c>
      <c r="J12" s="19"/>
      <c r="K12" s="19" t="str">
        <f t="shared" si="0"/>
        <v/>
      </c>
      <c r="P12" s="21"/>
    </row>
    <row r="13" spans="1:16" s="20" customFormat="1" ht="24.95" customHeight="1" x14ac:dyDescent="0.2">
      <c r="A13" s="15" t="s">
        <v>42</v>
      </c>
      <c r="B13" s="16" t="s">
        <v>5</v>
      </c>
      <c r="C13" s="17" t="s">
        <v>43</v>
      </c>
      <c r="D13" s="18"/>
      <c r="E13" s="19" t="s">
        <v>5</v>
      </c>
      <c r="F13" s="19"/>
      <c r="H13" s="19"/>
      <c r="I13" s="19" t="s">
        <v>5</v>
      </c>
      <c r="J13" s="19"/>
      <c r="K13" s="19" t="str">
        <f t="shared" si="0"/>
        <v/>
      </c>
      <c r="P13" s="21"/>
    </row>
    <row r="14" spans="1:16" s="20" customFormat="1" ht="24.95" customHeight="1" thickBot="1" x14ac:dyDescent="0.25">
      <c r="A14" s="15" t="s">
        <v>44</v>
      </c>
      <c r="B14" s="16" t="s">
        <v>5</v>
      </c>
      <c r="C14" s="17" t="s">
        <v>45</v>
      </c>
      <c r="D14" s="18"/>
      <c r="E14" s="19" t="s">
        <v>5</v>
      </c>
      <c r="F14" s="19"/>
      <c r="H14" s="19"/>
      <c r="I14" s="19" t="s">
        <v>5</v>
      </c>
      <c r="J14" s="19"/>
      <c r="K14" s="49" t="str">
        <f t="shared" si="0"/>
        <v/>
      </c>
      <c r="P14" s="22"/>
    </row>
    <row r="15" spans="1:16" ht="26.1" customHeight="1" thickBot="1" x14ac:dyDescent="0.25">
      <c r="I15" s="1" t="s">
        <v>1</v>
      </c>
      <c r="K15" s="50"/>
    </row>
    <row r="17" spans="1:16" ht="15.75" x14ac:dyDescent="0.25">
      <c r="A17" s="29" t="s">
        <v>6</v>
      </c>
      <c r="B17" s="30"/>
      <c r="C17" s="31" t="s">
        <v>27</v>
      </c>
      <c r="D17" s="8" t="s">
        <v>2</v>
      </c>
      <c r="E17" s="9"/>
      <c r="F17" s="10"/>
      <c r="G17" s="2"/>
      <c r="H17" s="8" t="s">
        <v>3</v>
      </c>
      <c r="I17" s="9"/>
      <c r="J17" s="10"/>
      <c r="K17" s="3" t="s">
        <v>4</v>
      </c>
    </row>
    <row r="18" spans="1:16" s="20" customFormat="1" ht="24.95" customHeight="1" x14ac:dyDescent="0.2">
      <c r="A18" s="23" t="s">
        <v>46</v>
      </c>
      <c r="B18" s="16" t="s">
        <v>5</v>
      </c>
      <c r="C18" s="23" t="s">
        <v>47</v>
      </c>
      <c r="D18" s="18"/>
      <c r="E18" s="19" t="s">
        <v>5</v>
      </c>
      <c r="F18" s="19"/>
      <c r="H18" s="19"/>
      <c r="I18" s="19" t="s">
        <v>5</v>
      </c>
      <c r="J18" s="19"/>
      <c r="K18" s="19" t="str">
        <f t="shared" ref="K18:K26" si="1">IF(ISBLANK($H18),"",(IF(ISBLANK(D18),0,IF((($H18=D18)*($J18=F18))*NOT(ISBLANK($H18)),1,0)+((($H18&gt;$J18)*(D18&gt;F18))+(($H18&lt;$J18)*(D18&lt;F18))+(($H18=$J18)*(D18=F18)))-ISBLANK($H18)*(D18=F18)+(($H18-$J18)=(D18-F18)))))</f>
        <v/>
      </c>
      <c r="P18" s="21"/>
    </row>
    <row r="19" spans="1:16" s="20" customFormat="1" ht="24.95" customHeight="1" x14ac:dyDescent="0.2">
      <c r="A19" s="23" t="s">
        <v>48</v>
      </c>
      <c r="B19" s="16" t="s">
        <v>5</v>
      </c>
      <c r="C19" s="23" t="s">
        <v>49</v>
      </c>
      <c r="D19" s="18"/>
      <c r="E19" s="19" t="s">
        <v>5</v>
      </c>
      <c r="F19" s="19"/>
      <c r="H19" s="19"/>
      <c r="I19" s="19" t="s">
        <v>5</v>
      </c>
      <c r="J19" s="19"/>
      <c r="K19" s="19" t="str">
        <f t="shared" si="1"/>
        <v/>
      </c>
      <c r="P19" s="21"/>
    </row>
    <row r="20" spans="1:16" s="20" customFormat="1" ht="24.95" customHeight="1" x14ac:dyDescent="0.2">
      <c r="A20" s="23" t="s">
        <v>50</v>
      </c>
      <c r="B20" s="16" t="s">
        <v>5</v>
      </c>
      <c r="C20" s="23" t="s">
        <v>51</v>
      </c>
      <c r="D20" s="18"/>
      <c r="E20" s="19" t="s">
        <v>5</v>
      </c>
      <c r="F20" s="19"/>
      <c r="H20" s="19"/>
      <c r="I20" s="19" t="s">
        <v>5</v>
      </c>
      <c r="J20" s="19"/>
      <c r="K20" s="19" t="str">
        <f t="shared" si="1"/>
        <v/>
      </c>
      <c r="P20" s="21"/>
    </row>
    <row r="21" spans="1:16" s="20" customFormat="1" ht="24.95" customHeight="1" x14ac:dyDescent="0.2">
      <c r="A21" s="23" t="s">
        <v>52</v>
      </c>
      <c r="B21" s="16" t="s">
        <v>5</v>
      </c>
      <c r="C21" s="23" t="s">
        <v>53</v>
      </c>
      <c r="D21" s="18"/>
      <c r="E21" s="19" t="s">
        <v>5</v>
      </c>
      <c r="F21" s="19"/>
      <c r="H21" s="19"/>
      <c r="I21" s="19" t="s">
        <v>5</v>
      </c>
      <c r="J21" s="19"/>
      <c r="K21" s="19" t="str">
        <f t="shared" si="1"/>
        <v/>
      </c>
      <c r="P21" s="21"/>
    </row>
    <row r="22" spans="1:16" s="20" customFormat="1" ht="24.95" customHeight="1" x14ac:dyDescent="0.2">
      <c r="A22" s="23" t="s">
        <v>54</v>
      </c>
      <c r="B22" s="16" t="s">
        <v>5</v>
      </c>
      <c r="C22" s="23" t="s">
        <v>55</v>
      </c>
      <c r="D22" s="18"/>
      <c r="E22" s="19" t="s">
        <v>5</v>
      </c>
      <c r="F22" s="19"/>
      <c r="H22" s="19"/>
      <c r="I22" s="19" t="s">
        <v>5</v>
      </c>
      <c r="J22" s="19"/>
      <c r="K22" s="19" t="str">
        <f t="shared" si="1"/>
        <v/>
      </c>
      <c r="P22" s="21"/>
    </row>
    <row r="23" spans="1:16" s="20" customFormat="1" ht="24.95" customHeight="1" x14ac:dyDescent="0.2">
      <c r="A23" s="23" t="s">
        <v>56</v>
      </c>
      <c r="B23" s="16" t="s">
        <v>5</v>
      </c>
      <c r="C23" s="23" t="s">
        <v>57</v>
      </c>
      <c r="D23" s="18"/>
      <c r="E23" s="19" t="s">
        <v>5</v>
      </c>
      <c r="F23" s="19"/>
      <c r="H23" s="19"/>
      <c r="I23" s="19" t="s">
        <v>5</v>
      </c>
      <c r="J23" s="19"/>
      <c r="K23" s="19" t="str">
        <f t="shared" si="1"/>
        <v/>
      </c>
      <c r="P23" s="21"/>
    </row>
    <row r="24" spans="1:16" s="20" customFormat="1" ht="24.95" customHeight="1" x14ac:dyDescent="0.2">
      <c r="A24" s="23" t="s">
        <v>58</v>
      </c>
      <c r="B24" s="16" t="s">
        <v>5</v>
      </c>
      <c r="C24" s="23" t="s">
        <v>59</v>
      </c>
      <c r="D24" s="18"/>
      <c r="E24" s="19" t="s">
        <v>5</v>
      </c>
      <c r="F24" s="19"/>
      <c r="H24" s="19"/>
      <c r="I24" s="19" t="s">
        <v>5</v>
      </c>
      <c r="J24" s="19"/>
      <c r="K24" s="19" t="str">
        <f t="shared" si="1"/>
        <v/>
      </c>
      <c r="P24" s="21"/>
    </row>
    <row r="25" spans="1:16" s="20" customFormat="1" ht="24.95" customHeight="1" x14ac:dyDescent="0.2">
      <c r="A25" s="23" t="s">
        <v>60</v>
      </c>
      <c r="B25" s="16" t="s">
        <v>5</v>
      </c>
      <c r="C25" s="23" t="s">
        <v>61</v>
      </c>
      <c r="D25" s="18"/>
      <c r="E25" s="19" t="s">
        <v>5</v>
      </c>
      <c r="F25" s="19"/>
      <c r="H25" s="19"/>
      <c r="I25" s="19" t="s">
        <v>5</v>
      </c>
      <c r="J25" s="19"/>
      <c r="K25" s="19" t="str">
        <f t="shared" si="1"/>
        <v/>
      </c>
      <c r="P25" s="21"/>
    </row>
    <row r="26" spans="1:16" s="20" customFormat="1" ht="24.95" customHeight="1" thickBot="1" x14ac:dyDescent="0.25">
      <c r="A26" s="23" t="s">
        <v>62</v>
      </c>
      <c r="B26" s="16" t="s">
        <v>5</v>
      </c>
      <c r="C26" s="23" t="s">
        <v>63</v>
      </c>
      <c r="D26" s="18"/>
      <c r="E26" s="19" t="s">
        <v>5</v>
      </c>
      <c r="F26" s="19"/>
      <c r="H26" s="19"/>
      <c r="I26" s="19" t="s">
        <v>5</v>
      </c>
      <c r="J26" s="19"/>
      <c r="K26" s="49" t="str">
        <f t="shared" si="1"/>
        <v/>
      </c>
      <c r="P26" s="22"/>
    </row>
    <row r="27" spans="1:16" ht="27" customHeight="1" thickBot="1" x14ac:dyDescent="0.25">
      <c r="K27" s="50"/>
    </row>
    <row r="28" spans="1:16" ht="15" customHeight="1" x14ac:dyDescent="0.2">
      <c r="A28" s="34" t="s">
        <v>11</v>
      </c>
      <c r="B28" s="14"/>
      <c r="C28" s="13"/>
    </row>
    <row r="29" spans="1:16" ht="15" customHeight="1" x14ac:dyDescent="0.2">
      <c r="A29" s="35" t="s">
        <v>22</v>
      </c>
      <c r="B29" s="14"/>
      <c r="C29" s="13"/>
      <c r="D29" s="39">
        <v>1</v>
      </c>
      <c r="E29" s="43"/>
      <c r="F29" s="40">
        <v>2</v>
      </c>
      <c r="G29" s="47"/>
      <c r="H29" s="54" t="s">
        <v>7</v>
      </c>
      <c r="I29" s="55"/>
      <c r="J29" s="47"/>
      <c r="K29" s="41" t="s">
        <v>8</v>
      </c>
      <c r="L29" s="42"/>
    </row>
    <row r="30" spans="1:16" ht="15" customHeight="1" x14ac:dyDescent="0.2">
      <c r="A30" s="35" t="s">
        <v>15</v>
      </c>
      <c r="B30" s="14"/>
      <c r="C30" s="13"/>
      <c r="D30" s="56"/>
      <c r="E30" s="43"/>
      <c r="F30" s="57"/>
      <c r="G30" s="47"/>
      <c r="H30" s="57"/>
      <c r="I30" s="57"/>
      <c r="J30" s="43"/>
      <c r="K30" s="68"/>
      <c r="L30" s="64" t="s">
        <v>19</v>
      </c>
    </row>
    <row r="31" spans="1:16" ht="15" customHeight="1" x14ac:dyDescent="0.2">
      <c r="A31" s="34" t="s">
        <v>12</v>
      </c>
      <c r="B31" s="14"/>
      <c r="C31" s="13"/>
      <c r="D31" s="56"/>
      <c r="E31" s="44"/>
      <c r="F31" s="57"/>
      <c r="G31" s="45"/>
      <c r="H31" s="57"/>
      <c r="I31" s="57"/>
      <c r="J31" s="44"/>
      <c r="K31" s="68"/>
      <c r="L31" s="64"/>
    </row>
    <row r="32" spans="1:16" ht="15" customHeight="1" x14ac:dyDescent="0.2">
      <c r="A32" s="36" t="s">
        <v>13</v>
      </c>
      <c r="B32" s="14"/>
      <c r="C32" s="13"/>
      <c r="D32" s="56"/>
      <c r="E32" s="43"/>
      <c r="F32" s="57"/>
      <c r="G32" s="47"/>
      <c r="H32" s="57"/>
      <c r="I32" s="57"/>
      <c r="J32" s="43"/>
      <c r="K32" s="68"/>
      <c r="L32" s="64" t="s">
        <v>20</v>
      </c>
    </row>
    <row r="33" spans="1:12" ht="15" customHeight="1" x14ac:dyDescent="0.25">
      <c r="A33" s="36" t="s">
        <v>14</v>
      </c>
      <c r="C33" s="5"/>
      <c r="D33" s="56"/>
      <c r="E33" s="45"/>
      <c r="F33" s="57"/>
      <c r="G33" s="45"/>
      <c r="H33" s="57"/>
      <c r="I33" s="57"/>
      <c r="J33" s="44"/>
      <c r="K33" s="68"/>
      <c r="L33" s="65"/>
    </row>
    <row r="34" spans="1:12" ht="15" customHeight="1" x14ac:dyDescent="0.2">
      <c r="A34" s="35"/>
      <c r="D34" s="58"/>
      <c r="E34" s="46"/>
      <c r="F34" s="60"/>
      <c r="G34" s="46"/>
      <c r="H34" s="60"/>
      <c r="I34" s="60"/>
      <c r="J34" s="48"/>
      <c r="K34" s="62"/>
      <c r="L34" s="66" t="s">
        <v>21</v>
      </c>
    </row>
    <row r="35" spans="1:12" ht="15" customHeight="1" x14ac:dyDescent="0.2">
      <c r="A35" s="37" t="s">
        <v>9</v>
      </c>
      <c r="D35" s="59"/>
      <c r="E35" s="45"/>
      <c r="F35" s="61"/>
      <c r="G35" s="45"/>
      <c r="H35" s="61"/>
      <c r="I35" s="61"/>
      <c r="J35" s="44"/>
      <c r="K35" s="63"/>
      <c r="L35" s="67"/>
    </row>
    <row r="36" spans="1:12" ht="15" customHeight="1" x14ac:dyDescent="0.2">
      <c r="A36" s="37" t="s">
        <v>10</v>
      </c>
      <c r="D36">
        <f>SUM(K6:K14)</f>
        <v>0</v>
      </c>
      <c r="E36"/>
      <c r="F36">
        <f>SUM(K18:K26)</f>
        <v>0</v>
      </c>
      <c r="H36"/>
      <c r="I36"/>
      <c r="K36">
        <f>SUM(D36+F36)</f>
        <v>0</v>
      </c>
    </row>
    <row r="37" spans="1:12" ht="15" customHeight="1" x14ac:dyDescent="0.2">
      <c r="A37" s="37" t="s">
        <v>17</v>
      </c>
      <c r="D37"/>
      <c r="E37"/>
      <c r="F37"/>
      <c r="H37"/>
      <c r="I37"/>
    </row>
    <row r="38" spans="1:12" ht="15" customHeight="1" x14ac:dyDescent="0.2">
      <c r="A38" s="37" t="s">
        <v>18</v>
      </c>
      <c r="F38"/>
      <c r="H38"/>
      <c r="I38"/>
    </row>
    <row r="39" spans="1:12" ht="15" customHeight="1" x14ac:dyDescent="0.2">
      <c r="A39" s="38"/>
      <c r="F39"/>
      <c r="H39"/>
      <c r="I39"/>
    </row>
    <row r="40" spans="1:12" ht="15" customHeight="1" x14ac:dyDescent="0.2">
      <c r="A40" s="38"/>
      <c r="F40"/>
      <c r="H40"/>
      <c r="I40"/>
    </row>
    <row r="41" spans="1:12" x14ac:dyDescent="0.2">
      <c r="A41" s="37"/>
      <c r="F41"/>
      <c r="H41"/>
      <c r="I41"/>
      <c r="J41"/>
    </row>
    <row r="42" spans="1:12" ht="15" customHeight="1" x14ac:dyDescent="0.2">
      <c r="A42" s="33"/>
      <c r="F42"/>
      <c r="H42"/>
      <c r="I42"/>
      <c r="J42"/>
    </row>
    <row r="43" spans="1:12" x14ac:dyDescent="0.2">
      <c r="F43"/>
      <c r="H43"/>
      <c r="I43"/>
      <c r="J43"/>
    </row>
  </sheetData>
  <mergeCells count="17">
    <mergeCell ref="D34:D35"/>
    <mergeCell ref="F34:F35"/>
    <mergeCell ref="H34:I35"/>
    <mergeCell ref="K34:K35"/>
    <mergeCell ref="L30:L31"/>
    <mergeCell ref="L32:L33"/>
    <mergeCell ref="L34:L35"/>
    <mergeCell ref="K30:K31"/>
    <mergeCell ref="D32:D33"/>
    <mergeCell ref="F32:F33"/>
    <mergeCell ref="H32:I33"/>
    <mergeCell ref="K32:K33"/>
    <mergeCell ref="D3:J3"/>
    <mergeCell ref="H29:I29"/>
    <mergeCell ref="D30:D31"/>
    <mergeCell ref="F30:F31"/>
    <mergeCell ref="H30:I31"/>
  </mergeCells>
  <phoneticPr fontId="0" type="noConversion"/>
  <conditionalFormatting sqref="D3:J3">
    <cfRule type="cellIs" dxfId="0" priority="1" stopIfTrue="1" operator="notEqual">
      <formula>""</formula>
    </cfRule>
  </conditionalFormatting>
  <printOptions horizontalCentered="1"/>
  <pageMargins left="0.98425196850393704" right="0.59055118110236227" top="0.59055118110236227" bottom="0.39370078740157483" header="0.51181102362204722" footer="0.51181102362204722"/>
  <pageSetup paperSize="9" scale="98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13.TT</vt:lpstr>
    </vt:vector>
  </TitlesOfParts>
  <Company>Kursana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Bächli</dc:creator>
  <cp:lastModifiedBy>Rainer Münchenbach</cp:lastModifiedBy>
  <cp:lastPrinted>2023-10-23T05:50:05Z</cp:lastPrinted>
  <dcterms:created xsi:type="dcterms:W3CDTF">2000-02-24T07:49:10Z</dcterms:created>
  <dcterms:modified xsi:type="dcterms:W3CDTF">2026-07-02T17:47:32Z</dcterms:modified>
</cp:coreProperties>
</file>