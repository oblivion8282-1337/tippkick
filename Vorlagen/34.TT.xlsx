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34.TT" sheetId="1" state="visible" r:id="rId1"/>
    <sheet xmlns:r="http://schemas.openxmlformats.org/officeDocument/2006/relationships" name="Tabelle2" sheetId="2" state="visible" r:id="rId2"/>
    <sheet xmlns:r="http://schemas.openxmlformats.org/officeDocument/2006/relationships" name="Tabelle3" sheetId="3" state="visible" r:id="rId3"/>
    <sheet xmlns:r="http://schemas.openxmlformats.org/officeDocument/2006/relationships" name="Tabelle4" sheetId="4" state="visible" r:id="rId4"/>
    <sheet xmlns:r="http://schemas.openxmlformats.org/officeDocument/2006/relationships" name="Tabelle5" sheetId="5" state="visible" r:id="rId5"/>
    <sheet xmlns:r="http://schemas.openxmlformats.org/officeDocument/2006/relationships" name="Tabelle6" sheetId="6" state="visible" r:id="rId6"/>
    <sheet xmlns:r="http://schemas.openxmlformats.org/officeDocument/2006/relationships" name="Tabelle7" sheetId="7" state="visible" r:id="rId7"/>
    <sheet xmlns:r="http://schemas.openxmlformats.org/officeDocument/2006/relationships" name="Tabelle8" sheetId="8" state="visible" r:id="rId8"/>
    <sheet xmlns:r="http://schemas.openxmlformats.org/officeDocument/2006/relationships" name="Tabelle9" sheetId="9" state="visible" r:id="rId9"/>
    <sheet xmlns:r="http://schemas.openxmlformats.org/officeDocument/2006/relationships" name="Tabelle10" sheetId="10" state="visible" r:id="rId10"/>
    <sheet xmlns:r="http://schemas.openxmlformats.org/officeDocument/2006/relationships" name="Tabelle11" sheetId="11" state="visible" r:id="rId11"/>
    <sheet xmlns:r="http://schemas.openxmlformats.org/officeDocument/2006/relationships" name="Tabelle12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2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sz val="16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indexed="63"/>
      <sz val="8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  <u val="single"/>
    </font>
    <font>
      <name val="Arial"/>
      <family val="2"/>
      <b val="1"/>
      <color rgb="FFFF0000"/>
      <sz val="10"/>
    </font>
    <font>
      <name val="Arial"/>
      <family val="2"/>
      <sz val="12"/>
    </font>
  </fonts>
  <fills count="5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4" pivotButton="0" quotePrefix="0" xfId="0"/>
    <xf numFmtId="0" fontId="1" fillId="0" borderId="5" applyAlignment="1" pivotButton="0" quotePrefix="0" xfId="0">
      <alignment horizontal="center"/>
    </xf>
    <xf numFmtId="0" fontId="2" fillId="0" borderId="0" pivotButton="0" quotePrefix="0" xfId="0"/>
    <xf numFmtId="15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6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1" fillId="0" borderId="7" applyAlignment="1" pivotButton="0" quotePrefix="0" xfId="0">
      <alignment horizontal="centerContinuous"/>
    </xf>
    <xf numFmtId="0" fontId="1" fillId="0" borderId="0" pivotButton="0" quotePrefix="0" xfId="0"/>
    <xf numFmtId="0" fontId="6" fillId="0" borderId="0" applyAlignment="1" pivotButton="0" quotePrefix="0" xfId="0">
      <alignment horizontal="right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3" borderId="6" pivotButton="0" quotePrefix="0" xfId="0"/>
    <xf numFmtId="0" fontId="1" fillId="3" borderId="4" applyAlignment="1" pivotButton="0" quotePrefix="0" xfId="0">
      <alignment horizontal="center"/>
    </xf>
    <xf numFmtId="0" fontId="1" fillId="3" borderId="7" pivotButton="0" quotePrefix="0" xfId="0"/>
    <xf numFmtId="0" fontId="10" fillId="2" borderId="0" pivotButton="0" quotePrefix="0" xfId="0"/>
    <xf numFmtId="0" fontId="1" fillId="0" borderId="0" applyAlignment="1" pivotButton="0" quotePrefix="0" xfId="0">
      <alignment vertical="top"/>
    </xf>
    <xf numFmtId="0" fontId="11" fillId="0" borderId="0" pivotButton="0" quotePrefix="0" xfId="0"/>
    <xf numFmtId="0" fontId="6" fillId="0" borderId="0" pivotButton="0" quotePrefix="0" xfId="0"/>
    <xf numFmtId="0" fontId="6" fillId="0" borderId="0" pivotButton="0" quotePrefix="1" xfId="0"/>
    <xf numFmtId="0" fontId="12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3" fillId="0" borderId="12" pivotButton="0" quotePrefix="0" xfId="0"/>
    <xf numFmtId="0" fontId="0" fillId="0" borderId="13" pivotButton="0" quotePrefix="0" xfId="0"/>
    <xf numFmtId="0" fontId="0" fillId="4" borderId="12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3" pivotButton="0" quotePrefix="0" xfId="0"/>
    <xf numFmtId="0" fontId="0" fillId="4" borderId="0" pivotButton="0" quotePrefix="0" xfId="0"/>
    <xf numFmtId="0" fontId="0" fillId="4" borderId="12" pivotButton="0" quotePrefix="0" xfId="0"/>
    <xf numFmtId="0" fontId="0" fillId="4" borderId="0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0" applyAlignment="1" applyProtection="1" pivotButton="0" quotePrefix="0" xfId="0">
      <alignment horizontal="center" vertical="center"/>
      <protection locked="0" hidden="0"/>
    </xf>
    <xf numFmtId="0" fontId="0" fillId="0" borderId="4" applyAlignment="1" applyProtection="1" pivotButton="0" quotePrefix="0" xfId="0">
      <alignment horizontal="center" vertical="center"/>
      <protection locked="0" hidden="0"/>
    </xf>
    <xf numFmtId="0" fontId="0" fillId="0" borderId="8" applyAlignment="1" applyProtection="1" pivotButton="0" quotePrefix="0" xfId="0">
      <alignment horizontal="center" vertical="center"/>
      <protection locked="0" hidden="0"/>
    </xf>
    <xf numFmtId="0" fontId="13" fillId="0" borderId="12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14" fontId="0" fillId="0" borderId="14" applyAlignment="1" pivotButton="0" quotePrefix="0" xfId="0">
      <alignment horizontal="center"/>
    </xf>
    <xf numFmtId="14" fontId="0" fillId="0" borderId="1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1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12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3" pivotButton="0" quotePrefix="0" xfId="0"/>
    <xf numFmtId="0" fontId="0" fillId="0" borderId="19" pivotButton="0" quotePrefix="0" xfId="0"/>
    <xf numFmtId="0" fontId="13" fillId="0" borderId="17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</cellXfs>
  <cellStyles count="1">
    <cellStyle name="Standard" xfId="0" builtinId="0"/>
  </cellStyles>
  <dxfs count="1">
    <dxf>
      <font>
        <condense val="0"/>
        <color auto="1"/>
        <extend val="0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tabSelected="1" zoomScale="95" zoomScaleNormal="95" workbookViewId="0">
      <selection activeCell="S17" sqref="S17"/>
    </sheetView>
  </sheetViews>
  <sheetFormatPr baseColWidth="10" defaultRowHeight="15"/>
  <cols>
    <col width="17.77734375" customWidth="1" min="1" max="1"/>
    <col width="1.44140625" customWidth="1" style="60" min="2" max="2"/>
    <col width="17.77734375" customWidth="1" min="3" max="3"/>
    <col width="6.77734375" customWidth="1" style="60" min="4" max="4"/>
    <col width="1.33203125" customWidth="1" style="60" min="5" max="5"/>
    <col width="6.77734375" customWidth="1" style="60" min="6" max="6"/>
    <col width="1.6640625" customWidth="1" min="7" max="7"/>
    <col width="2.6640625" customWidth="1" style="60" min="8" max="8"/>
    <col width="1.33203125" customWidth="1" style="60" min="9" max="9"/>
    <col width="2.6640625" customWidth="1" style="60" min="10" max="10"/>
    <col width="4.33203125" customWidth="1" min="11" max="11"/>
    <col width="4.109375" customWidth="1" min="12" max="13"/>
    <col width="4.77734375" bestFit="1" customWidth="1" min="14" max="14"/>
    <col width="4.6640625" customWidth="1" min="15" max="15"/>
  </cols>
  <sheetData>
    <row r="1" ht="20.25" customFormat="1" customHeight="1" s="20">
      <c r="A1" s="25" t="inlineStr">
        <is>
          <t>34.TT</t>
        </is>
      </c>
      <c r="B1" s="26" t="n"/>
      <c r="C1" s="27" t="n"/>
      <c r="D1" s="25" t="inlineStr">
        <is>
          <t>Saison 25/26</t>
        </is>
      </c>
      <c r="E1" s="26" t="n"/>
      <c r="F1" s="26" t="n"/>
      <c r="G1" s="27" t="n"/>
      <c r="H1" s="26" t="n"/>
      <c r="I1" s="26" t="n"/>
      <c r="J1" s="26" t="n"/>
      <c r="K1" s="27" t="n"/>
      <c r="M1" s="28" t="n"/>
    </row>
    <row r="2" ht="12" customHeight="1">
      <c r="D2" s="6" t="n"/>
      <c r="M2" s="11" t="n"/>
    </row>
    <row r="3" ht="20.1" customHeight="1">
      <c r="A3" s="32" t="inlineStr">
        <is>
          <t>16.05. - 17.05.</t>
        </is>
      </c>
      <c r="B3" s="24" t="n"/>
      <c r="C3" s="12" t="inlineStr">
        <is>
          <t>Name:</t>
        </is>
      </c>
      <c r="D3" s="69" t="inlineStr">
        <is>
          <t>Cordoba</t>
        </is>
      </c>
      <c r="E3" s="70" t="n"/>
      <c r="F3" s="70" t="n"/>
      <c r="G3" s="70" t="n"/>
      <c r="H3" s="70" t="n"/>
      <c r="I3" s="70" t="n"/>
      <c r="J3" s="71" t="n"/>
      <c r="K3" t="inlineStr">
        <is>
          <t xml:space="preserve"> </t>
        </is>
      </c>
      <c r="L3" t="inlineStr">
        <is>
          <t xml:space="preserve"> </t>
        </is>
      </c>
      <c r="M3" t="inlineStr">
        <is>
          <t xml:space="preserve"> </t>
        </is>
      </c>
    </row>
    <row r="4" ht="15" customHeight="1">
      <c r="A4" s="7" t="n"/>
      <c r="C4" s="4" t="n"/>
    </row>
    <row r="5" ht="15.75" customHeight="1">
      <c r="A5" s="29" t="inlineStr">
        <is>
          <t>1. Liga</t>
        </is>
      </c>
      <c r="B5" s="30" t="n"/>
      <c r="C5" s="31" t="inlineStr">
        <is>
          <t>34. Spieltag</t>
        </is>
      </c>
      <c r="D5" s="8" t="inlineStr">
        <is>
          <t>Tipp</t>
        </is>
      </c>
      <c r="E5" s="9" t="n"/>
      <c r="F5" s="10" t="n"/>
      <c r="G5" s="2" t="n"/>
      <c r="H5" s="8" t="inlineStr">
        <is>
          <t>Ergeb.</t>
        </is>
      </c>
      <c r="I5" s="9" t="n"/>
      <c r="J5" s="10" t="n"/>
      <c r="K5" s="3" t="inlineStr">
        <is>
          <t>Pkt.</t>
        </is>
      </c>
    </row>
    <row r="6" ht="24.95" customFormat="1" customHeight="1" s="20">
      <c r="A6" s="15" t="inlineStr">
        <is>
          <t>Werder Bremen</t>
        </is>
      </c>
      <c r="B6" s="16" t="inlineStr">
        <is>
          <t>:</t>
        </is>
      </c>
      <c r="C6" s="17" t="inlineStr">
        <is>
          <t>Borussia Dortmund</t>
        </is>
      </c>
      <c r="D6" s="65" t="n">
        <v>1</v>
      </c>
      <c r="E6" s="19" t="inlineStr">
        <is>
          <t>:</t>
        </is>
      </c>
      <c r="F6" s="19" t="n">
        <v>2</v>
      </c>
      <c r="H6" s="19" t="n"/>
      <c r="I6" s="19" t="inlineStr">
        <is>
          <t>:</t>
        </is>
      </c>
      <c r="J6" s="19" t="n"/>
      <c r="K6" s="19">
        <f>IF(ISBLANK($H6),"",(IF(ISBLANK(D6),0,IF((($H6=D6)*($J6=F6))*NOT(ISBLANK($H6)),1,0)+((($H6&gt;$J6)*(D6&gt;F6))+(($H6&lt;$J6)*(D6&lt;F6))+(($H6=$J6)*(D6=F6)))-ISBLANK($H6)*(D6=F6)+(($H6-$J6)=(D6-F6)))))</f>
        <v/>
      </c>
      <c r="P6" s="21" t="n"/>
    </row>
    <row r="7" ht="24.95" customFormat="1" customHeight="1" s="20">
      <c r="A7" s="15" t="inlineStr">
        <is>
          <t>Bayern München</t>
        </is>
      </c>
      <c r="B7" s="16" t="inlineStr">
        <is>
          <t>:</t>
        </is>
      </c>
      <c r="C7" s="17" t="inlineStr">
        <is>
          <t>1. FC Köln</t>
        </is>
      </c>
      <c r="D7" s="65" t="n">
        <v>4</v>
      </c>
      <c r="E7" s="19" t="inlineStr">
        <is>
          <t>:</t>
        </is>
      </c>
      <c r="F7" s="19" t="n">
        <v>1</v>
      </c>
      <c r="H7" s="19" t="n"/>
      <c r="I7" s="19" t="inlineStr">
        <is>
          <t>:</t>
        </is>
      </c>
      <c r="J7" s="19" t="n"/>
      <c r="K7" s="19">
        <f>IF(ISBLANK($H7),"",(IF(ISBLANK(D7),0,IF((($H7=D7)*($J7=F7))*NOT(ISBLANK($H7)),1,0)+((($H7&gt;$J7)*(D7&gt;F7))+(($H7&lt;$J7)*(D7&lt;F7))+(($H7=$J7)*(D7=F7)))-ISBLANK($H7)*(D7=F7)+(($H7-$J7)=(D7-F7)))))</f>
        <v/>
      </c>
      <c r="P7" s="21" t="n"/>
    </row>
    <row r="8" ht="24.95" customFormat="1" customHeight="1" s="20">
      <c r="A8" s="15" t="inlineStr">
        <is>
          <t>Bor. Mönchengladbach</t>
        </is>
      </c>
      <c r="B8" s="16" t="inlineStr">
        <is>
          <t>:</t>
        </is>
      </c>
      <c r="C8" s="17" t="inlineStr">
        <is>
          <t>TSG Hoffenheim</t>
        </is>
      </c>
      <c r="D8" s="65" t="n">
        <v>0</v>
      </c>
      <c r="E8" s="19" t="inlineStr">
        <is>
          <t>:</t>
        </is>
      </c>
      <c r="F8" s="19" t="n">
        <v>2</v>
      </c>
      <c r="H8" s="19" t="n"/>
      <c r="I8" s="19" t="inlineStr">
        <is>
          <t>:</t>
        </is>
      </c>
      <c r="J8" s="19" t="n"/>
      <c r="K8" s="19">
        <f>IF(ISBLANK($H8),"",(IF(ISBLANK(D8),0,IF((($H8=D8)*($J8=F8))*NOT(ISBLANK($H8)),1,0)+((($H8&gt;$J8)*(D8&gt;F8))+(($H8&lt;$J8)*(D8&lt;F8))+(($H8=$J8)*(D8=F8)))-ISBLANK($H8)*(D8=F8)+(($H8-$J8)=(D8-F8)))))</f>
        <v/>
      </c>
      <c r="P8" s="21" t="n"/>
    </row>
    <row r="9" ht="24.95" customFormat="1" customHeight="1" s="20">
      <c r="A9" s="15" t="inlineStr">
        <is>
          <t>Eintracht Frankfurt</t>
        </is>
      </c>
      <c r="B9" s="16" t="inlineStr">
        <is>
          <t>:</t>
        </is>
      </c>
      <c r="C9" s="17" t="inlineStr">
        <is>
          <t>VfB Stuttgart</t>
        </is>
      </c>
      <c r="D9" s="65" t="n">
        <v>2</v>
      </c>
      <c r="E9" s="19" t="inlineStr">
        <is>
          <t>:</t>
        </is>
      </c>
      <c r="F9" s="19" t="n">
        <v>1</v>
      </c>
      <c r="H9" s="19" t="n"/>
      <c r="I9" s="19" t="inlineStr">
        <is>
          <t>:</t>
        </is>
      </c>
      <c r="J9" s="19" t="n"/>
      <c r="K9" s="19">
        <f>IF(ISBLANK($H9),"",(IF(ISBLANK(D9),0,IF((($H9=D9)*($J9=F9))*NOT(ISBLANK($H9)),1,0)+((($H9&gt;$J9)*(D9&gt;F9))+(($H9&lt;$J9)*(D9&lt;F9))+(($H9=$J9)*(D9=F9)))-ISBLANK($H9)*(D9=F9)+(($H9-$J9)=(D9-F9)))))</f>
        <v/>
      </c>
      <c r="P9" s="21" t="n"/>
    </row>
    <row r="10" ht="24.95" customFormat="1" customHeight="1" s="20">
      <c r="A10" s="15" t="inlineStr">
        <is>
          <t>Bayer Leverkusen</t>
        </is>
      </c>
      <c r="B10" s="16" t="inlineStr">
        <is>
          <t>:</t>
        </is>
      </c>
      <c r="C10" s="17" t="inlineStr">
        <is>
          <t>Hamburger SV</t>
        </is>
      </c>
      <c r="D10" s="65" t="n">
        <v>3</v>
      </c>
      <c r="E10" s="19" t="inlineStr">
        <is>
          <t>:</t>
        </is>
      </c>
      <c r="F10" s="19" t="n">
        <v>0</v>
      </c>
      <c r="H10" s="19" t="n"/>
      <c r="I10" s="19" t="inlineStr">
        <is>
          <t>:</t>
        </is>
      </c>
      <c r="J10" s="19" t="n"/>
      <c r="K10" s="19">
        <f>IF(ISBLANK($H10),"",(IF(ISBLANK(D10),0,IF((($H10=D10)*($J10=F10))*NOT(ISBLANK($H10)),1,0)+((($H10&gt;$J10)*(D10&gt;F10))+(($H10&lt;$J10)*(D10&lt;F10))+(($H10=$J10)*(D10=F10)))-ISBLANK($H10)*(D10=F10)+(($H10-$J10)=(D10-F10)))))</f>
        <v/>
      </c>
      <c r="P10" s="21" t="n"/>
    </row>
    <row r="11" ht="24.95" customFormat="1" customHeight="1" s="20">
      <c r="A11" s="15" t="inlineStr">
        <is>
          <t>SC Freiburg</t>
        </is>
      </c>
      <c r="B11" s="16" t="inlineStr">
        <is>
          <t>:</t>
        </is>
      </c>
      <c r="C11" s="17" t="inlineStr">
        <is>
          <t>RB Leipzig</t>
        </is>
      </c>
      <c r="D11" s="65" t="n">
        <v>1</v>
      </c>
      <c r="E11" s="19" t="inlineStr">
        <is>
          <t>:</t>
        </is>
      </c>
      <c r="F11" s="19" t="n">
        <v>2</v>
      </c>
      <c r="H11" s="19" t="n"/>
      <c r="I11" s="19" t="inlineStr">
        <is>
          <t>:</t>
        </is>
      </c>
      <c r="J11" s="19" t="n"/>
      <c r="K11" s="19">
        <f>IF(ISBLANK($H11),"",(IF(ISBLANK(D11),0,IF((($H11=D11)*($J11=F11))*NOT(ISBLANK($H11)),1,0)+((($H11&gt;$J11)*(D11&gt;F11))+(($H11&lt;$J11)*(D11&lt;F11))+(($H11=$J11)*(D11=F11)))-ISBLANK($H11)*(D11=F11)+(($H11-$J11)=(D11-F11)))))</f>
        <v/>
      </c>
      <c r="P11" s="21" t="n"/>
    </row>
    <row r="12" ht="24.95" customFormat="1" customHeight="1" s="20">
      <c r="A12" s="15" t="inlineStr">
        <is>
          <t>FC St. Pauli</t>
        </is>
      </c>
      <c r="B12" s="16" t="inlineStr">
        <is>
          <t>:</t>
        </is>
      </c>
      <c r="C12" s="17" t="inlineStr">
        <is>
          <t>VfL Wolfsburg</t>
        </is>
      </c>
      <c r="D12" s="65" t="n">
        <v>1</v>
      </c>
      <c r="E12" s="19" t="inlineStr">
        <is>
          <t>:</t>
        </is>
      </c>
      <c r="F12" s="19" t="n">
        <v>1</v>
      </c>
      <c r="H12" s="19" t="n"/>
      <c r="I12" s="19" t="inlineStr">
        <is>
          <t>:</t>
        </is>
      </c>
      <c r="J12" s="19" t="n"/>
      <c r="K12" s="19">
        <f>IF(ISBLANK($H12),"",(IF(ISBLANK(D12),0,IF((($H12=D12)*($J12=F12))*NOT(ISBLANK($H12)),1,0)+((($H12&gt;$J12)*(D12&gt;F12))+(($H12&lt;$J12)*(D12&lt;F12))+(($H12=$J12)*(D12=F12)))-ISBLANK($H12)*(D12=F12)+(($H12-$J12)=(D12-F12)))))</f>
        <v/>
      </c>
      <c r="P12" s="21" t="n"/>
    </row>
    <row r="13" ht="24.95" customFormat="1" customHeight="1" s="20">
      <c r="A13" s="15" t="inlineStr">
        <is>
          <t>1. FC Union Berlin</t>
        </is>
      </c>
      <c r="B13" s="16" t="inlineStr">
        <is>
          <t>:</t>
        </is>
      </c>
      <c r="C13" s="17" t="inlineStr">
        <is>
          <t>FC Augsburg</t>
        </is>
      </c>
      <c r="D13" s="65" t="n">
        <v>0</v>
      </c>
      <c r="E13" s="19" t="inlineStr">
        <is>
          <t>:</t>
        </is>
      </c>
      <c r="F13" s="19" t="n">
        <v>2</v>
      </c>
      <c r="H13" s="19" t="n"/>
      <c r="I13" s="19" t="inlineStr">
        <is>
          <t>:</t>
        </is>
      </c>
      <c r="J13" s="19" t="n"/>
      <c r="K13" s="19">
        <f>IF(ISBLANK($H13),"",(IF(ISBLANK(D13),0,IF((($H13=D13)*($J13=F13))*NOT(ISBLANK($H13)),1,0)+((($H13&gt;$J13)*(D13&gt;F13))+(($H13&lt;$J13)*(D13&lt;F13))+(($H13=$J13)*(D13=F13)))-ISBLANK($H13)*(D13=F13)+(($H13-$J13)=(D13-F13)))))</f>
        <v/>
      </c>
      <c r="P13" s="21" t="n"/>
    </row>
    <row r="14" ht="24.95" customFormat="1" customHeight="1" s="20" thickBot="1">
      <c r="A14" s="15" t="inlineStr">
        <is>
          <t>1. FC Heidenheim</t>
        </is>
      </c>
      <c r="B14" s="16" t="inlineStr">
        <is>
          <t>:</t>
        </is>
      </c>
      <c r="C14" s="17" t="inlineStr">
        <is>
          <t>1. FSV Mainz 05</t>
        </is>
      </c>
      <c r="D14" s="65" t="n">
        <v>2</v>
      </c>
      <c r="E14" s="19" t="inlineStr">
        <is>
          <t>:</t>
        </is>
      </c>
      <c r="F14" s="19" t="n">
        <v>1</v>
      </c>
      <c r="H14" s="19" t="n"/>
      <c r="I14" s="19" t="inlineStr">
        <is>
          <t>:</t>
        </is>
      </c>
      <c r="J14" s="19" t="n"/>
      <c r="K14" s="49">
        <f>IF(ISBLANK($H14),"",(IF(ISBLANK(D14),0,IF((($H14=D14)*($J14=F14))*NOT(ISBLANK($H14)),1,0)+((($H14&gt;$J14)*(D14&gt;F14))+(($H14&lt;$J14)*(D14&lt;F14))+(($H14=$J14)*(D14=F14)))-ISBLANK($H14)*(D14=F14)+(($H14-$J14)=(D14-F14)))))</f>
        <v/>
      </c>
      <c r="P14" s="22" t="n"/>
    </row>
    <row r="15" ht="26.1" customHeight="1" thickBot="1">
      <c r="I15" s="60" t="inlineStr">
        <is>
          <t xml:space="preserve"> </t>
        </is>
      </c>
      <c r="K15" s="50" t="n"/>
    </row>
    <row r="17" ht="15.75" customHeight="1">
      <c r="A17" s="29" t="inlineStr">
        <is>
          <t>2. Liga</t>
        </is>
      </c>
      <c r="B17" s="30" t="n"/>
      <c r="C17" s="31" t="inlineStr">
        <is>
          <t>34. Spieltag</t>
        </is>
      </c>
      <c r="D17" s="8" t="inlineStr">
        <is>
          <t>Tipp</t>
        </is>
      </c>
      <c r="E17" s="9" t="n"/>
      <c r="F17" s="10" t="n"/>
      <c r="G17" s="2" t="n"/>
      <c r="H17" s="8" t="inlineStr">
        <is>
          <t>Ergeb.</t>
        </is>
      </c>
      <c r="I17" s="9" t="n"/>
      <c r="J17" s="10" t="n"/>
      <c r="K17" s="3" t="inlineStr">
        <is>
          <t>Pkt.</t>
        </is>
      </c>
    </row>
    <row r="18" ht="24.95" customFormat="1" customHeight="1" s="20">
      <c r="A18" s="23" t="inlineStr">
        <is>
          <t>FC Schalke 04</t>
        </is>
      </c>
      <c r="B18" s="16" t="inlineStr">
        <is>
          <t>:</t>
        </is>
      </c>
      <c r="C18" s="23" t="inlineStr">
        <is>
          <t>Eintr. Braunschweig</t>
        </is>
      </c>
      <c r="D18" s="65" t="n">
        <v>2</v>
      </c>
      <c r="E18" s="19" t="inlineStr">
        <is>
          <t>:</t>
        </is>
      </c>
      <c r="F18" s="19" t="n">
        <v>1</v>
      </c>
      <c r="H18" s="19" t="n"/>
      <c r="I18" s="19" t="inlineStr">
        <is>
          <t>:</t>
        </is>
      </c>
      <c r="J18" s="19" t="n"/>
      <c r="K18" s="19">
        <f>IF(ISBLANK($H18),"",(IF(ISBLANK(D18),0,IF((($H18=D18)*($J18=F18))*NOT(ISBLANK($H18)),1,0)+((($H18&gt;$J18)*(D18&gt;F18))+(($H18&lt;$J18)*(D18&lt;F18))+(($H18=$J18)*(D18=F18)))-ISBLANK($H18)*(D18=F18)+(($H18-$J18)=(D18-F18)))))</f>
        <v/>
      </c>
      <c r="P18" s="21" t="n"/>
    </row>
    <row r="19" ht="24.95" customFormat="1" customHeight="1" s="20">
      <c r="A19" s="23" t="inlineStr">
        <is>
          <t>Karlsruher SC</t>
        </is>
      </c>
      <c r="B19" s="16" t="inlineStr">
        <is>
          <t>:</t>
        </is>
      </c>
      <c r="C19" s="23" t="inlineStr">
        <is>
          <t>VfL Bochum</t>
        </is>
      </c>
      <c r="D19" s="65" t="n">
        <v>1</v>
      </c>
      <c r="E19" s="19" t="inlineStr">
        <is>
          <t>:</t>
        </is>
      </c>
      <c r="F19" s="19" t="n">
        <v>1</v>
      </c>
      <c r="H19" s="19" t="n"/>
      <c r="I19" s="19" t="inlineStr">
        <is>
          <t>:</t>
        </is>
      </c>
      <c r="J19" s="19" t="n"/>
      <c r="K19" s="19">
        <f>IF(ISBLANK($H19),"",(IF(ISBLANK(D19),0,IF((($H19=D19)*($J19=F19))*NOT(ISBLANK($H19)),1,0)+((($H19&gt;$J19)*(D19&gt;F19))+(($H19&lt;$J19)*(D19&lt;F19))+(($H19=$J19)*(D19=F19)))-ISBLANK($H19)*(D19=F19)+(($H19-$J19)=(D19-F19)))))</f>
        <v/>
      </c>
      <c r="P19" s="21" t="n"/>
    </row>
    <row r="20" ht="24.95" customFormat="1" customHeight="1" s="20">
      <c r="A20" s="23" t="inlineStr">
        <is>
          <t>Hannover 96</t>
        </is>
      </c>
      <c r="B20" s="16" t="inlineStr">
        <is>
          <t>:</t>
        </is>
      </c>
      <c r="C20" s="23" t="inlineStr">
        <is>
          <t>1. FC Nürnberg</t>
        </is>
      </c>
      <c r="D20" s="65" t="n">
        <v>2</v>
      </c>
      <c r="E20" s="19" t="inlineStr">
        <is>
          <t>:</t>
        </is>
      </c>
      <c r="F20" s="19" t="n">
        <v>1</v>
      </c>
      <c r="H20" s="19" t="n"/>
      <c r="I20" s="19" t="inlineStr">
        <is>
          <t>:</t>
        </is>
      </c>
      <c r="J20" s="19" t="n"/>
      <c r="K20" s="19">
        <f>IF(ISBLANK($H20),"",(IF(ISBLANK(D20),0,IF((($H20=D20)*($J20=F20))*NOT(ISBLANK($H20)),1,0)+((($H20&gt;$J20)*(D20&gt;F20))+(($H20&lt;$J20)*(D20&lt;F20))+(($H20=$J20)*(D20=F20)))-ISBLANK($H20)*(D20=F20)+(($H20-$J20)=(D20-F20)))))</f>
        <v/>
      </c>
      <c r="P20" s="21" t="n"/>
    </row>
    <row r="21" ht="24.95" customFormat="1" customHeight="1" s="20">
      <c r="A21" s="23" t="inlineStr">
        <is>
          <t>Arminia Bielefeld</t>
        </is>
      </c>
      <c r="B21" s="16" t="inlineStr">
        <is>
          <t>:</t>
        </is>
      </c>
      <c r="C21" s="23" t="inlineStr">
        <is>
          <t>Hertha BSC</t>
        </is>
      </c>
      <c r="D21" s="65" t="n">
        <v>1</v>
      </c>
      <c r="E21" s="19" t="inlineStr">
        <is>
          <t>:</t>
        </is>
      </c>
      <c r="F21" s="19" t="n">
        <v>1</v>
      </c>
      <c r="H21" s="19" t="n"/>
      <c r="I21" s="19" t="inlineStr">
        <is>
          <t>:</t>
        </is>
      </c>
      <c r="J21" s="19" t="n"/>
      <c r="K21" s="19">
        <f>IF(ISBLANK($H21),"",(IF(ISBLANK(D21),0,IF((($H21=D21)*($J21=F21))*NOT(ISBLANK($H21)),1,0)+((($H21&gt;$J21)*(D21&gt;F21))+(($H21&lt;$J21)*(D21&lt;F21))+(($H21=$J21)*(D21=F21)))-ISBLANK($H21)*(D21=F21)+(($H21-$J21)=(D21-F21)))))</f>
        <v/>
      </c>
      <c r="P21" s="21" t="n"/>
    </row>
    <row r="22" ht="24.95" customFormat="1" customHeight="1" s="20">
      <c r="A22" s="23" t="inlineStr">
        <is>
          <t>Dynamo Dresden</t>
        </is>
      </c>
      <c r="B22" s="16" t="inlineStr">
        <is>
          <t>:</t>
        </is>
      </c>
      <c r="C22" s="23" t="inlineStr">
        <is>
          <t>Holstein Kiel</t>
        </is>
      </c>
      <c r="D22" s="65" t="n">
        <v>1</v>
      </c>
      <c r="E22" s="19" t="inlineStr">
        <is>
          <t>:</t>
        </is>
      </c>
      <c r="F22" s="19" t="n">
        <v>2</v>
      </c>
      <c r="H22" s="19" t="n"/>
      <c r="I22" s="19" t="inlineStr">
        <is>
          <t>:</t>
        </is>
      </c>
      <c r="J22" s="19" t="n"/>
      <c r="K22" s="19">
        <f>IF(ISBLANK($H22),"",(IF(ISBLANK(D22),0,IF((($H22=D22)*($J22=F22))*NOT(ISBLANK($H22)),1,0)+((($H22&gt;$J22)*(D22&gt;F22))+(($H22&lt;$J22)*(D22&lt;F22))+(($H22=$J22)*(D22=F22)))-ISBLANK($H22)*(D22=F22)+(($H22-$J22)=(D22-F22)))))</f>
        <v/>
      </c>
      <c r="P22" s="21" t="n"/>
    </row>
    <row r="23" ht="24.95" customFormat="1" customHeight="1" s="20">
      <c r="A23" s="23" t="inlineStr">
        <is>
          <t>SV Darmstadt 98</t>
        </is>
      </c>
      <c r="B23" s="16" t="inlineStr">
        <is>
          <t>:</t>
        </is>
      </c>
      <c r="C23" s="23" t="inlineStr">
        <is>
          <t>SC Paderborn 07</t>
        </is>
      </c>
      <c r="D23" s="65" t="n">
        <v>1</v>
      </c>
      <c r="E23" s="19" t="inlineStr">
        <is>
          <t>:</t>
        </is>
      </c>
      <c r="F23" s="19" t="n">
        <v>2</v>
      </c>
      <c r="H23" s="19" t="n"/>
      <c r="I23" s="19" t="inlineStr">
        <is>
          <t>:</t>
        </is>
      </c>
      <c r="J23" s="19" t="n"/>
      <c r="K23" s="19">
        <f>IF(ISBLANK($H23),"",(IF(ISBLANK(D23),0,IF((($H23=D23)*($J23=F23))*NOT(ISBLANK($H23)),1,0)+((($H23&gt;$J23)*(D23&gt;F23))+(($H23&lt;$J23)*(D23&lt;F23))+(($H23=$J23)*(D23=F23)))-ISBLANK($H23)*(D23=F23)+(($H23-$J23)=(D23-F23)))))</f>
        <v/>
      </c>
      <c r="P23" s="21" t="n"/>
    </row>
    <row r="24" ht="24.95" customFormat="1" customHeight="1" s="20">
      <c r="A24" s="23" t="inlineStr">
        <is>
          <t>SpVgg Greuther Fürth</t>
        </is>
      </c>
      <c r="B24" s="16" t="inlineStr">
        <is>
          <t>:</t>
        </is>
      </c>
      <c r="C24" s="23" t="inlineStr">
        <is>
          <t>Fortuna Düsseldorf</t>
        </is>
      </c>
      <c r="D24" s="65" t="n">
        <v>1</v>
      </c>
      <c r="E24" s="19" t="inlineStr">
        <is>
          <t>:</t>
        </is>
      </c>
      <c r="F24" s="19" t="n">
        <v>1</v>
      </c>
      <c r="H24" s="19" t="n"/>
      <c r="I24" s="19" t="inlineStr">
        <is>
          <t>:</t>
        </is>
      </c>
      <c r="J24" s="19" t="n"/>
      <c r="K24" s="19">
        <f>IF(ISBLANK($H24),"",(IF(ISBLANK(D24),0,IF((($H24=D24)*($J24=F24))*NOT(ISBLANK($H24)),1,0)+((($H24&gt;$J24)*(D24&gt;F24))+(($H24&lt;$J24)*(D24&lt;F24))+(($H24=$J24)*(D24=F24)))-ISBLANK($H24)*(D24=F24)+(($H24-$J24)=(D24-F24)))))</f>
        <v/>
      </c>
      <c r="P24" s="21" t="n"/>
    </row>
    <row r="25" ht="24.95" customFormat="1" customHeight="1" s="20">
      <c r="A25" s="23" t="inlineStr">
        <is>
          <t>1. FC Magdeburg</t>
        </is>
      </c>
      <c r="B25" s="16" t="inlineStr">
        <is>
          <t>:</t>
        </is>
      </c>
      <c r="C25" s="23" t="inlineStr">
        <is>
          <t>1. FC Kaiserslautern</t>
        </is>
      </c>
      <c r="D25" s="65" t="n">
        <v>2</v>
      </c>
      <c r="E25" s="19" t="inlineStr">
        <is>
          <t>:</t>
        </is>
      </c>
      <c r="F25" s="19" t="n">
        <v>1</v>
      </c>
      <c r="H25" s="19" t="n"/>
      <c r="I25" s="19" t="inlineStr">
        <is>
          <t>:</t>
        </is>
      </c>
      <c r="J25" s="19" t="n"/>
      <c r="K25" s="19">
        <f>IF(ISBLANK($H25),"",(IF(ISBLANK(D25),0,IF((($H25=D25)*($J25=F25))*NOT(ISBLANK($H25)),1,0)+((($H25&gt;$J25)*(D25&gt;F25))+(($H25&lt;$J25)*(D25&lt;F25))+(($H25=$J25)*(D25=F25)))-ISBLANK($H25)*(D25=F25)+(($H25-$J25)=(D25-F25)))))</f>
        <v/>
      </c>
      <c r="P25" s="21" t="n"/>
    </row>
    <row r="26" ht="24.95" customFormat="1" customHeight="1" s="20" thickBot="1">
      <c r="A26" s="23" t="inlineStr">
        <is>
          <t>SV Elversberg</t>
        </is>
      </c>
      <c r="B26" s="16" t="inlineStr">
        <is>
          <t>:</t>
        </is>
      </c>
      <c r="C26" s="23" t="inlineStr">
        <is>
          <t>Preußen Münster</t>
        </is>
      </c>
      <c r="D26" s="65" t="n">
        <v>3</v>
      </c>
      <c r="E26" s="19" t="inlineStr">
        <is>
          <t>:</t>
        </is>
      </c>
      <c r="F26" s="19" t="n">
        <v>0</v>
      </c>
      <c r="H26" s="19" t="n"/>
      <c r="I26" s="19" t="inlineStr">
        <is>
          <t>:</t>
        </is>
      </c>
      <c r="J26" s="19" t="n"/>
      <c r="K26" s="49">
        <f>IF(ISBLANK($H26),"",(IF(ISBLANK(D26),0,IF((($H26=D26)*($J26=F26))*NOT(ISBLANK($H26)),1,0)+((($H26&gt;$J26)*(D26&gt;F26))+(($H26&lt;$J26)*(D26&lt;F26))+(($H26=$J26)*(D26=F26)))-ISBLANK($H26)*(D26=F26)+(($H26-$J26)=(D26-F26)))))</f>
        <v/>
      </c>
      <c r="P26" s="22" t="n"/>
    </row>
    <row r="27" ht="27" customHeight="1" thickBot="1">
      <c r="K27" s="50" t="n"/>
    </row>
    <row r="28" ht="15" customHeight="1">
      <c r="A28" s="34" t="inlineStr">
        <is>
          <t>mail tippleitung:</t>
        </is>
      </c>
      <c r="B28" s="14" t="n"/>
      <c r="C28" s="13" t="n"/>
    </row>
    <row r="29" ht="15" customHeight="1">
      <c r="A29" s="35" t="inlineStr">
        <is>
          <t>winzer@ttmediaworld.de (jukkel)</t>
        </is>
      </c>
      <c r="B29" s="14" t="n"/>
      <c r="C29" s="13" t="n"/>
      <c r="D29" s="39" t="n">
        <v>1</v>
      </c>
      <c r="E29" s="43" t="n"/>
      <c r="F29" s="55" t="n">
        <v>2</v>
      </c>
      <c r="G29" s="47" t="n"/>
      <c r="H29" s="54" t="inlineStr">
        <is>
          <t>Ges</t>
        </is>
      </c>
      <c r="I29" s="72" t="n"/>
      <c r="J29" s="47" t="n"/>
      <c r="K29" s="41" t="inlineStr">
        <is>
          <t>Total</t>
        </is>
      </c>
      <c r="L29" s="42" t="n"/>
    </row>
    <row r="30" ht="15" customHeight="1">
      <c r="A30" s="35" t="inlineStr">
        <is>
          <t>rainer.muenchenbach@t-online.de (bächli)</t>
        </is>
      </c>
      <c r="B30" s="14" t="n"/>
      <c r="C30" s="13" t="n"/>
      <c r="D30" s="56" t="n"/>
      <c r="E30" s="43" t="n"/>
      <c r="F30" s="57" t="n"/>
      <c r="G30" s="47" t="n"/>
      <c r="H30" s="57" t="n"/>
      <c r="I30" s="73" t="n"/>
      <c r="J30" s="43" t="n"/>
      <c r="K30" s="68" t="n"/>
      <c r="L30" s="64" t="inlineStr">
        <is>
          <t>fr</t>
        </is>
      </c>
    </row>
    <row r="31" ht="15" customHeight="1">
      <c r="A31" s="34" t="inlineStr">
        <is>
          <t>per whatsapp oder sms:</t>
        </is>
      </c>
      <c r="B31" s="14" t="n"/>
      <c r="C31" s="13" t="n"/>
      <c r="D31" s="74" t="n"/>
      <c r="E31" s="44" t="n"/>
      <c r="F31" s="75" t="n"/>
      <c r="G31" s="45" t="n"/>
      <c r="H31" s="75" t="n"/>
      <c r="I31" s="75" t="n"/>
      <c r="J31" s="44" t="n"/>
      <c r="K31" s="76" t="n"/>
      <c r="L31" s="76" t="n"/>
    </row>
    <row r="32" ht="15" customHeight="1">
      <c r="A32" s="36" t="inlineStr">
        <is>
          <t>01717814969 (bächli)</t>
        </is>
      </c>
      <c r="B32" s="14" t="n"/>
      <c r="C32" s="13" t="n"/>
      <c r="D32" s="56" t="n"/>
      <c r="E32" s="43" t="n"/>
      <c r="F32" s="57" t="n"/>
      <c r="G32" s="47" t="n"/>
      <c r="H32" s="57" t="n"/>
      <c r="I32" s="73" t="n"/>
      <c r="J32" s="43" t="n"/>
      <c r="K32" s="68" t="n"/>
      <c r="L32" s="64" t="inlineStr">
        <is>
          <t>sa</t>
        </is>
      </c>
    </row>
    <row r="33" ht="15" customHeight="1">
      <c r="A33" s="36" t="inlineStr">
        <is>
          <t>01711991816 (jukkel)</t>
        </is>
      </c>
      <c r="C33" s="5" t="n"/>
      <c r="D33" s="74" t="n"/>
      <c r="E33" s="45" t="n"/>
      <c r="F33" s="75" t="n"/>
      <c r="G33" s="45" t="n"/>
      <c r="H33" s="75" t="n"/>
      <c r="I33" s="75" t="n"/>
      <c r="J33" s="44" t="n"/>
      <c r="K33" s="76" t="n"/>
      <c r="L33" s="76" t="n"/>
    </row>
    <row r="34" ht="15" customHeight="1">
      <c r="A34" s="35" t="n"/>
      <c r="D34" s="59" t="n"/>
      <c r="E34" s="46" t="n"/>
      <c r="F34" s="61" t="n"/>
      <c r="G34" s="46" t="n"/>
      <c r="H34" s="61" t="n"/>
      <c r="J34" s="48" t="n"/>
      <c r="K34" s="63" t="n"/>
      <c r="L34" s="77" t="inlineStr">
        <is>
          <t>so</t>
        </is>
      </c>
    </row>
    <row r="35" ht="15" customHeight="1">
      <c r="A35" s="37" t="inlineStr">
        <is>
          <t>Deadline: Eine Minute vor Beginn des</t>
        </is>
      </c>
      <c r="D35" s="78" t="n"/>
      <c r="E35" s="45" t="n"/>
      <c r="F35" s="75" t="n"/>
      <c r="G35" s="45" t="n"/>
      <c r="H35" s="75" t="n"/>
      <c r="I35" s="75" t="n"/>
      <c r="J35" s="44" t="n"/>
      <c r="K35" s="79" t="n"/>
      <c r="L35" s="79" t="n"/>
    </row>
    <row r="36" ht="15" customHeight="1">
      <c r="A36" s="37" t="inlineStr">
        <is>
          <t>ersten zum Tipptag zählenden Spiels!</t>
        </is>
      </c>
      <c r="D36">
        <f>SUM(K6:K14)</f>
        <v/>
      </c>
      <c r="F36">
        <f>SUM(K18:K26)</f>
        <v/>
      </c>
      <c r="K36">
        <f>SUM(D36+F36)</f>
        <v/>
      </c>
    </row>
    <row r="37" ht="15" customHeight="1">
      <c r="A37" s="37" t="inlineStr">
        <is>
          <t>Sämtliche 18 Tipps müssen bis zur Deadline</t>
        </is>
      </c>
    </row>
    <row r="38" ht="15" customHeight="1">
      <c r="A38" s="37" t="inlineStr">
        <is>
          <t>vollständig vorliegen!</t>
        </is>
      </c>
    </row>
    <row r="39" ht="15" customHeight="1">
      <c r="A39" s="38" t="n"/>
    </row>
    <row r="40" ht="15" customHeight="1">
      <c r="A40" s="38" t="n"/>
    </row>
    <row r="41">
      <c r="A41" s="37" t="n"/>
    </row>
    <row r="42" ht="15" customHeight="1">
      <c r="A42" s="33" t="n"/>
    </row>
    <row r="43"/>
  </sheetData>
  <mergeCells count="17">
    <mergeCell ref="F32:F33"/>
    <mergeCell ref="D30:D31"/>
    <mergeCell ref="F30:F31"/>
    <mergeCell ref="D32:D33"/>
    <mergeCell ref="K30:K31"/>
    <mergeCell ref="H32:I33"/>
    <mergeCell ref="K32:K33"/>
    <mergeCell ref="L30:L31"/>
    <mergeCell ref="D3:J3"/>
    <mergeCell ref="H29:I29"/>
    <mergeCell ref="L34:L35"/>
    <mergeCell ref="L32:L33"/>
    <mergeCell ref="D34:D35"/>
    <mergeCell ref="H34:I35"/>
    <mergeCell ref="F34:F35"/>
    <mergeCell ref="K34:K35"/>
    <mergeCell ref="H30:I31"/>
  </mergeCells>
  <conditionalFormatting sqref="D3:J3">
    <cfRule type="cellIs" priority="1" operator="notEqual" dxfId="0" stopIfTrue="1">
      <formula>""</formula>
    </cfRule>
  </conditionalFormatting>
  <printOptions horizontalCentered="1"/>
  <pageMargins left="0.984251968503937" right="0.5905511811023623" top="0.5905511811023623" bottom="0.3937007874015748" header="0.5118110236220472" footer="0.5118110236220472"/>
  <pageSetup orientation="portrait" paperSize="9" scale="98" horizontalDpi="4294967292" verticalDpi="42949672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Bächli</dc:creator>
  <dcterms:created xmlns:dcterms="http://purl.org/dc/terms/" xmlns:xsi="http://www.w3.org/2001/XMLSchema-instance" xsi:type="dcterms:W3CDTF">2000-02-24T07:49:10Z</dcterms:created>
  <dcterms:modified xmlns:dcterms="http://purl.org/dc/terms/" xmlns:xsi="http://www.w3.org/2001/XMLSchema-instance" xsi:type="dcterms:W3CDTF">2026-05-15T09:49:48Z</dcterms:modified>
  <cp:lastModifiedBy>Rainer Münchenbach</cp:lastModifiedBy>
  <cp:lastPrinted>2023-10-23T05:50:05Z</cp:lastPrinted>
</cp:coreProperties>
</file>