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04CAC3D-738B-43B7-9752-B572BCD968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W" sheetId="32" r:id="rId1"/>
    <sheet name="12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6" i="1" l="1"/>
  <c r="GT37" i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GT22" i="1" l="1"/>
  <c r="GT8" i="1"/>
  <c r="GT9" i="1"/>
  <c r="GT20" i="1"/>
  <c r="GT23" i="1"/>
  <c r="GT25" i="1"/>
  <c r="GT7" i="1"/>
  <c r="GT10" i="1"/>
  <c r="GT11" i="1"/>
  <c r="GR31" i="1" s="1"/>
  <c r="GT12" i="1"/>
  <c r="GT13" i="1"/>
  <c r="GT14" i="1"/>
  <c r="GT21" i="1"/>
  <c r="GT24" i="1"/>
  <c r="GT26" i="1"/>
  <c r="GT6" i="1"/>
  <c r="GT18" i="1"/>
  <c r="GT19" i="1"/>
  <c r="GN22" i="1"/>
  <c r="GN8" i="1"/>
  <c r="GN9" i="1"/>
  <c r="GN20" i="1"/>
  <c r="GN23" i="1"/>
  <c r="GN25" i="1"/>
  <c r="GN7" i="1"/>
  <c r="GN10" i="1"/>
  <c r="GN11" i="1"/>
  <c r="GL31" i="1" s="1"/>
  <c r="GN12" i="1"/>
  <c r="GN13" i="1"/>
  <c r="GN14" i="1"/>
  <c r="GN21" i="1"/>
  <c r="GN24" i="1"/>
  <c r="GN26" i="1"/>
  <c r="GN6" i="1"/>
  <c r="GN18" i="1"/>
  <c r="GN19" i="1"/>
  <c r="GH22" i="1"/>
  <c r="GH8" i="1"/>
  <c r="GH9" i="1"/>
  <c r="GH20" i="1"/>
  <c r="GH23" i="1"/>
  <c r="GH25" i="1"/>
  <c r="GH7" i="1"/>
  <c r="GH10" i="1"/>
  <c r="GH11" i="1"/>
  <c r="GF31" i="1" s="1"/>
  <c r="GH12" i="1"/>
  <c r="GH13" i="1"/>
  <c r="GH14" i="1"/>
  <c r="GH21" i="1"/>
  <c r="GH24" i="1"/>
  <c r="GH26" i="1"/>
  <c r="GH6" i="1"/>
  <c r="GH18" i="1"/>
  <c r="GG35" i="1" s="1"/>
  <c r="GH19" i="1"/>
  <c r="GB22" i="1"/>
  <c r="GB8" i="1"/>
  <c r="GB9" i="1"/>
  <c r="GB20" i="1"/>
  <c r="GB23" i="1"/>
  <c r="GB25" i="1"/>
  <c r="GB7" i="1"/>
  <c r="GB10" i="1"/>
  <c r="GB11" i="1"/>
  <c r="FZ31" i="1" s="1"/>
  <c r="GB12" i="1"/>
  <c r="GB13" i="1"/>
  <c r="GB14" i="1"/>
  <c r="GB21" i="1"/>
  <c r="GB24" i="1"/>
  <c r="GB26" i="1"/>
  <c r="GB6" i="1"/>
  <c r="GB18" i="1"/>
  <c r="GA35" i="1" s="1"/>
  <c r="GB19" i="1"/>
  <c r="GA31" i="1" s="1"/>
  <c r="FV22" i="1"/>
  <c r="FV8" i="1"/>
  <c r="FV9" i="1"/>
  <c r="FV20" i="1"/>
  <c r="FV23" i="1"/>
  <c r="FV25" i="1"/>
  <c r="FV7" i="1"/>
  <c r="FV10" i="1"/>
  <c r="FV11" i="1"/>
  <c r="FT31" i="1" s="1"/>
  <c r="FV12" i="1"/>
  <c r="FV13" i="1"/>
  <c r="FV14" i="1"/>
  <c r="FV21" i="1"/>
  <c r="FV24" i="1"/>
  <c r="FV26" i="1"/>
  <c r="FV6" i="1"/>
  <c r="FV18" i="1"/>
  <c r="FV19" i="1"/>
  <c r="FP22" i="1"/>
  <c r="FP8" i="1"/>
  <c r="FP9" i="1"/>
  <c r="FP20" i="1"/>
  <c r="FP23" i="1"/>
  <c r="FP25" i="1"/>
  <c r="FP7" i="1"/>
  <c r="FP10" i="1"/>
  <c r="FP11" i="1"/>
  <c r="FN31" i="1" s="1"/>
  <c r="FP12" i="1"/>
  <c r="FP13" i="1"/>
  <c r="FP14" i="1"/>
  <c r="FP21" i="1"/>
  <c r="FP24" i="1"/>
  <c r="FP26" i="1"/>
  <c r="FP6" i="1"/>
  <c r="FP18" i="1"/>
  <c r="FP19" i="1"/>
  <c r="FJ22" i="1"/>
  <c r="FJ8" i="1"/>
  <c r="FJ9" i="1"/>
  <c r="FJ20" i="1"/>
  <c r="FJ23" i="1"/>
  <c r="FJ25" i="1"/>
  <c r="FJ7" i="1"/>
  <c r="FJ10" i="1"/>
  <c r="FJ11" i="1"/>
  <c r="FH31" i="1" s="1"/>
  <c r="FJ12" i="1"/>
  <c r="FJ13" i="1"/>
  <c r="FJ14" i="1"/>
  <c r="FJ21" i="1"/>
  <c r="FJ24" i="1"/>
  <c r="FJ26" i="1"/>
  <c r="FJ6" i="1"/>
  <c r="FJ18" i="1"/>
  <c r="FI35" i="1" s="1"/>
  <c r="FJ19" i="1"/>
  <c r="FD22" i="1"/>
  <c r="FD8" i="1"/>
  <c r="FD9" i="1"/>
  <c r="FD20" i="1"/>
  <c r="FD23" i="1"/>
  <c r="FD25" i="1"/>
  <c r="FD7" i="1"/>
  <c r="FD10" i="1"/>
  <c r="FD11" i="1"/>
  <c r="FB31" i="1" s="1"/>
  <c r="FD12" i="1"/>
  <c r="FD13" i="1"/>
  <c r="FD14" i="1"/>
  <c r="FD21" i="1"/>
  <c r="FD24" i="1"/>
  <c r="FD26" i="1"/>
  <c r="FD6" i="1"/>
  <c r="FD18" i="1"/>
  <c r="FC35" i="1" s="1"/>
  <c r="FD19" i="1"/>
  <c r="FC31" i="1" s="1"/>
  <c r="EX22" i="1"/>
  <c r="K25" i="32"/>
  <c r="EX8" i="1"/>
  <c r="EX9" i="1"/>
  <c r="EX20" i="1"/>
  <c r="EX23" i="1"/>
  <c r="EX25" i="1"/>
  <c r="EX7" i="1"/>
  <c r="EX10" i="1"/>
  <c r="EX11" i="1"/>
  <c r="EV31" i="1" s="1"/>
  <c r="EX12" i="1"/>
  <c r="EX13" i="1"/>
  <c r="EX14" i="1"/>
  <c r="EX21" i="1"/>
  <c r="EX24" i="1"/>
  <c r="EX26" i="1"/>
  <c r="EX6" i="1"/>
  <c r="EX18" i="1"/>
  <c r="EX19" i="1"/>
  <c r="ER22" i="1"/>
  <c r="ER8" i="1"/>
  <c r="ER9" i="1"/>
  <c r="ER20" i="1"/>
  <c r="ER23" i="1"/>
  <c r="ER25" i="1"/>
  <c r="ER7" i="1"/>
  <c r="ER10" i="1"/>
  <c r="ER11" i="1"/>
  <c r="EP31" i="1" s="1"/>
  <c r="ER12" i="1"/>
  <c r="ER13" i="1"/>
  <c r="ER14" i="1"/>
  <c r="ER21" i="1"/>
  <c r="ER24" i="1"/>
  <c r="ER26" i="1"/>
  <c r="ER6" i="1"/>
  <c r="ER18" i="1"/>
  <c r="ER19" i="1"/>
  <c r="EL22" i="1"/>
  <c r="EL8" i="1"/>
  <c r="EL9" i="1"/>
  <c r="EL20" i="1"/>
  <c r="EL23" i="1"/>
  <c r="EL25" i="1"/>
  <c r="EL7" i="1"/>
  <c r="EL10" i="1"/>
  <c r="EL11" i="1"/>
  <c r="EJ31" i="1" s="1"/>
  <c r="EL12" i="1"/>
  <c r="EL13" i="1"/>
  <c r="EL14" i="1"/>
  <c r="EL21" i="1"/>
  <c r="EL24" i="1"/>
  <c r="EL26" i="1"/>
  <c r="EL6" i="1"/>
  <c r="EL18" i="1"/>
  <c r="EL19" i="1"/>
  <c r="EF22" i="1"/>
  <c r="EF8" i="1"/>
  <c r="EF9" i="1"/>
  <c r="EF20" i="1"/>
  <c r="EF23" i="1"/>
  <c r="EF25" i="1"/>
  <c r="EF7" i="1"/>
  <c r="EF10" i="1"/>
  <c r="EF11" i="1"/>
  <c r="ED31" i="1" s="1"/>
  <c r="EF12" i="1"/>
  <c r="EF13" i="1"/>
  <c r="EF14" i="1"/>
  <c r="EF21" i="1"/>
  <c r="EF24" i="1"/>
  <c r="EF26" i="1"/>
  <c r="EF6" i="1"/>
  <c r="EF18" i="1"/>
  <c r="EE35" i="1" s="1"/>
  <c r="EF19" i="1"/>
  <c r="DZ22" i="1"/>
  <c r="DZ8" i="1"/>
  <c r="DZ9" i="1"/>
  <c r="DZ20" i="1"/>
  <c r="DZ23" i="1"/>
  <c r="DZ25" i="1"/>
  <c r="DZ7" i="1"/>
  <c r="DZ10" i="1"/>
  <c r="DZ11" i="1"/>
  <c r="DX31" i="1" s="1"/>
  <c r="DZ12" i="1"/>
  <c r="DZ13" i="1"/>
  <c r="DZ14" i="1"/>
  <c r="DZ21" i="1"/>
  <c r="DZ24" i="1"/>
  <c r="DZ26" i="1"/>
  <c r="DZ6" i="1"/>
  <c r="DZ18" i="1"/>
  <c r="DZ19" i="1"/>
  <c r="DT22" i="1"/>
  <c r="DT8" i="1"/>
  <c r="DT9" i="1"/>
  <c r="DT20" i="1"/>
  <c r="DT23" i="1"/>
  <c r="DT25" i="1"/>
  <c r="DT7" i="1"/>
  <c r="DT10" i="1"/>
  <c r="DT11" i="1"/>
  <c r="DR31" i="1" s="1"/>
  <c r="DT12" i="1"/>
  <c r="DT13" i="1"/>
  <c r="DT14" i="1"/>
  <c r="DT21" i="1"/>
  <c r="DT24" i="1"/>
  <c r="DT26" i="1"/>
  <c r="DT6" i="1"/>
  <c r="DT18" i="1"/>
  <c r="DT19" i="1"/>
  <c r="DN22" i="1"/>
  <c r="DN8" i="1"/>
  <c r="DN9" i="1"/>
  <c r="DN20" i="1"/>
  <c r="DN23" i="1"/>
  <c r="DN25" i="1"/>
  <c r="DN7" i="1"/>
  <c r="DN10" i="1"/>
  <c r="DN11" i="1"/>
  <c r="DL31" i="1" s="1"/>
  <c r="DN12" i="1"/>
  <c r="DN13" i="1"/>
  <c r="DN14" i="1"/>
  <c r="DN21" i="1"/>
  <c r="DN24" i="1"/>
  <c r="DN26" i="1"/>
  <c r="DN6" i="1"/>
  <c r="DN18" i="1"/>
  <c r="DN19" i="1"/>
  <c r="DH22" i="1"/>
  <c r="DH8" i="1"/>
  <c r="DH9" i="1"/>
  <c r="DH20" i="1"/>
  <c r="DH23" i="1"/>
  <c r="DH25" i="1"/>
  <c r="DH7" i="1"/>
  <c r="DH10" i="1"/>
  <c r="DH11" i="1"/>
  <c r="DF31" i="1" s="1"/>
  <c r="DH12" i="1"/>
  <c r="DH13" i="1"/>
  <c r="DH14" i="1"/>
  <c r="DH21" i="1"/>
  <c r="DH24" i="1"/>
  <c r="DH26" i="1"/>
  <c r="DH6" i="1"/>
  <c r="DH18" i="1"/>
  <c r="DG35" i="1" s="1"/>
  <c r="DH19" i="1"/>
  <c r="DB22" i="1"/>
  <c r="DB8" i="1"/>
  <c r="DB9" i="1"/>
  <c r="DB20" i="1"/>
  <c r="DB23" i="1"/>
  <c r="DB25" i="1"/>
  <c r="DB7" i="1"/>
  <c r="DB10" i="1"/>
  <c r="DB11" i="1"/>
  <c r="CZ31" i="1" s="1"/>
  <c r="DB12" i="1"/>
  <c r="DB13" i="1"/>
  <c r="DB14" i="1"/>
  <c r="DB21" i="1"/>
  <c r="DB24" i="1"/>
  <c r="DB26" i="1"/>
  <c r="DB6" i="1"/>
  <c r="DB18" i="1"/>
  <c r="DB19" i="1"/>
  <c r="CV22" i="1"/>
  <c r="CV8" i="1"/>
  <c r="CV9" i="1"/>
  <c r="CV20" i="1"/>
  <c r="CV23" i="1"/>
  <c r="CV25" i="1"/>
  <c r="CV7" i="1"/>
  <c r="CV10" i="1"/>
  <c r="CV11" i="1"/>
  <c r="CT31" i="1" s="1"/>
  <c r="CV12" i="1"/>
  <c r="CV13" i="1"/>
  <c r="CV14" i="1"/>
  <c r="CV21" i="1"/>
  <c r="CV24" i="1"/>
  <c r="CV26" i="1"/>
  <c r="CV6" i="1"/>
  <c r="CV18" i="1"/>
  <c r="CV19" i="1"/>
  <c r="CP22" i="1"/>
  <c r="CP8" i="1"/>
  <c r="CP9" i="1"/>
  <c r="CP20" i="1"/>
  <c r="CP23" i="1"/>
  <c r="CP25" i="1"/>
  <c r="CP7" i="1"/>
  <c r="CP10" i="1"/>
  <c r="CP11" i="1"/>
  <c r="CN31" i="1" s="1"/>
  <c r="CP12" i="1"/>
  <c r="CP13" i="1"/>
  <c r="CP14" i="1"/>
  <c r="CP21" i="1"/>
  <c r="CP24" i="1"/>
  <c r="CP26" i="1"/>
  <c r="CP6" i="1"/>
  <c r="CP18" i="1"/>
  <c r="CP19" i="1"/>
  <c r="CJ22" i="1"/>
  <c r="CJ8" i="1"/>
  <c r="CJ9" i="1"/>
  <c r="CJ20" i="1"/>
  <c r="CJ23" i="1"/>
  <c r="CJ25" i="1"/>
  <c r="CJ7" i="1"/>
  <c r="CJ10" i="1"/>
  <c r="CJ11" i="1"/>
  <c r="CH31" i="1" s="1"/>
  <c r="CJ12" i="1"/>
  <c r="CJ13" i="1"/>
  <c r="CJ14" i="1"/>
  <c r="CJ21" i="1"/>
  <c r="CJ24" i="1"/>
  <c r="CJ26" i="1"/>
  <c r="CJ6" i="1"/>
  <c r="CJ18" i="1"/>
  <c r="CI35" i="1" s="1"/>
  <c r="CJ19" i="1"/>
  <c r="CD22" i="1"/>
  <c r="K13" i="32"/>
  <c r="CD8" i="1"/>
  <c r="CD9" i="1"/>
  <c r="CD20" i="1"/>
  <c r="CD23" i="1"/>
  <c r="CD25" i="1"/>
  <c r="CD7" i="1"/>
  <c r="CD10" i="1"/>
  <c r="CD11" i="1"/>
  <c r="CB31" i="1" s="1"/>
  <c r="CD12" i="1"/>
  <c r="CD13" i="1"/>
  <c r="CD14" i="1"/>
  <c r="CD21" i="1"/>
  <c r="CD24" i="1"/>
  <c r="CD26" i="1"/>
  <c r="CD18" i="1"/>
  <c r="CD19" i="1"/>
  <c r="BX22" i="1"/>
  <c r="BX8" i="1"/>
  <c r="BX9" i="1"/>
  <c r="BX20" i="1"/>
  <c r="BX23" i="1"/>
  <c r="BX25" i="1"/>
  <c r="BX7" i="1"/>
  <c r="BX10" i="1"/>
  <c r="BX11" i="1"/>
  <c r="BV31" i="1" s="1"/>
  <c r="BX12" i="1"/>
  <c r="BX13" i="1"/>
  <c r="BX14" i="1"/>
  <c r="BX21" i="1"/>
  <c r="BX24" i="1"/>
  <c r="BX26" i="1"/>
  <c r="BX6" i="1"/>
  <c r="BX18" i="1"/>
  <c r="BX19" i="1"/>
  <c r="BR22" i="1"/>
  <c r="K11" i="32"/>
  <c r="BR8" i="1"/>
  <c r="BR9" i="1"/>
  <c r="BR20" i="1"/>
  <c r="BR23" i="1"/>
  <c r="BR25" i="1"/>
  <c r="BR7" i="1"/>
  <c r="BR10" i="1"/>
  <c r="BR11" i="1"/>
  <c r="BP31" i="1" s="1"/>
  <c r="BR12" i="1"/>
  <c r="BR13" i="1"/>
  <c r="BR14" i="1"/>
  <c r="BR21" i="1"/>
  <c r="BR24" i="1"/>
  <c r="BR26" i="1"/>
  <c r="BR6" i="1"/>
  <c r="BR18" i="1"/>
  <c r="BQ35" i="1" s="1"/>
  <c r="BR19" i="1"/>
  <c r="BQ31" i="1" s="1"/>
  <c r="BL22" i="1"/>
  <c r="BL8" i="1"/>
  <c r="BL9" i="1"/>
  <c r="BL20" i="1"/>
  <c r="BL23" i="1"/>
  <c r="BL25" i="1"/>
  <c r="BL7" i="1"/>
  <c r="BL10" i="1"/>
  <c r="BL11" i="1"/>
  <c r="BJ31" i="1" s="1"/>
  <c r="BL12" i="1"/>
  <c r="BL13" i="1"/>
  <c r="BL14" i="1"/>
  <c r="BL21" i="1"/>
  <c r="BL24" i="1"/>
  <c r="BL26" i="1"/>
  <c r="BL6" i="1"/>
  <c r="BJ33" i="1" s="1"/>
  <c r="BL18" i="1"/>
  <c r="BL19" i="1"/>
  <c r="BF22" i="1"/>
  <c r="BF8" i="1"/>
  <c r="BF9" i="1"/>
  <c r="BF20" i="1"/>
  <c r="BF23" i="1"/>
  <c r="BF25" i="1"/>
  <c r="BF7" i="1"/>
  <c r="BF10" i="1"/>
  <c r="BF11" i="1"/>
  <c r="BD31" i="1" s="1"/>
  <c r="BF12" i="1"/>
  <c r="BF13" i="1"/>
  <c r="BF14" i="1"/>
  <c r="BF21" i="1"/>
  <c r="BF24" i="1"/>
  <c r="BF26" i="1"/>
  <c r="BF6" i="1"/>
  <c r="BF18" i="1"/>
  <c r="BF19" i="1"/>
  <c r="AZ22" i="1"/>
  <c r="AZ8" i="1"/>
  <c r="AZ9" i="1"/>
  <c r="AZ20" i="1"/>
  <c r="AZ23" i="1"/>
  <c r="AZ25" i="1"/>
  <c r="AZ7" i="1"/>
  <c r="AZ10" i="1"/>
  <c r="AZ11" i="1"/>
  <c r="AX31" i="1" s="1"/>
  <c r="AZ12" i="1"/>
  <c r="AZ13" i="1"/>
  <c r="AZ14" i="1"/>
  <c r="AZ21" i="1"/>
  <c r="AZ24" i="1"/>
  <c r="AZ26" i="1"/>
  <c r="AZ6" i="1"/>
  <c r="AZ18" i="1"/>
  <c r="AZ19" i="1"/>
  <c r="AT22" i="1"/>
  <c r="AT8" i="1"/>
  <c r="AT9" i="1"/>
  <c r="AT20" i="1"/>
  <c r="AT23" i="1"/>
  <c r="AT25" i="1"/>
  <c r="AT7" i="1"/>
  <c r="AT10" i="1"/>
  <c r="AT11" i="1"/>
  <c r="AR31" i="1" s="1"/>
  <c r="AT12" i="1"/>
  <c r="AT13" i="1"/>
  <c r="AT14" i="1"/>
  <c r="AT21" i="1"/>
  <c r="AT24" i="1"/>
  <c r="AT26" i="1"/>
  <c r="AT6" i="1"/>
  <c r="AT18" i="1"/>
  <c r="AS35" i="1" s="1"/>
  <c r="AT19" i="1"/>
  <c r="AS31" i="1" s="1"/>
  <c r="AN22" i="1"/>
  <c r="AN8" i="1"/>
  <c r="AN9" i="1"/>
  <c r="AN20" i="1"/>
  <c r="AN23" i="1"/>
  <c r="AN25" i="1"/>
  <c r="AN7" i="1"/>
  <c r="AN10" i="1"/>
  <c r="AN11" i="1"/>
  <c r="AL31" i="1" s="1"/>
  <c r="AN12" i="1"/>
  <c r="AN13" i="1"/>
  <c r="AN14" i="1"/>
  <c r="AN21" i="1"/>
  <c r="AN24" i="1"/>
  <c r="AN26" i="1"/>
  <c r="AN6" i="1"/>
  <c r="AL33" i="1" s="1"/>
  <c r="AN18" i="1"/>
  <c r="AN19" i="1"/>
  <c r="AH22" i="1"/>
  <c r="AH8" i="1"/>
  <c r="AH9" i="1"/>
  <c r="AH20" i="1"/>
  <c r="AH23" i="1"/>
  <c r="AH25" i="1"/>
  <c r="AH7" i="1"/>
  <c r="AH10" i="1"/>
  <c r="AH11" i="1"/>
  <c r="AF31" i="1" s="1"/>
  <c r="AH12" i="1"/>
  <c r="AH13" i="1"/>
  <c r="AH14" i="1"/>
  <c r="AH21" i="1"/>
  <c r="AH24" i="1"/>
  <c r="AH26" i="1"/>
  <c r="AH6" i="1"/>
  <c r="AH18" i="1"/>
  <c r="AH19" i="1"/>
  <c r="AB22" i="1"/>
  <c r="AB8" i="1"/>
  <c r="AB9" i="1"/>
  <c r="AB20" i="1"/>
  <c r="AB23" i="1"/>
  <c r="AB25" i="1"/>
  <c r="AB7" i="1"/>
  <c r="AB10" i="1"/>
  <c r="AB11" i="1"/>
  <c r="Z31" i="1" s="1"/>
  <c r="AB12" i="1"/>
  <c r="AB13" i="1"/>
  <c r="AB14" i="1"/>
  <c r="AB21" i="1"/>
  <c r="AB24" i="1"/>
  <c r="AB26" i="1"/>
  <c r="AB6" i="1"/>
  <c r="AB18" i="1"/>
  <c r="AA35" i="1" s="1"/>
  <c r="AB19" i="1"/>
  <c r="V22" i="1"/>
  <c r="V8" i="1"/>
  <c r="V9" i="1"/>
  <c r="V20" i="1"/>
  <c r="V23" i="1"/>
  <c r="V25" i="1"/>
  <c r="V7" i="1"/>
  <c r="V10" i="1"/>
  <c r="V11" i="1"/>
  <c r="T31" i="1" s="1"/>
  <c r="V12" i="1"/>
  <c r="V13" i="1"/>
  <c r="V14" i="1"/>
  <c r="V21" i="1"/>
  <c r="V24" i="1"/>
  <c r="V26" i="1"/>
  <c r="V6" i="1"/>
  <c r="V18" i="1"/>
  <c r="U35" i="1" s="1"/>
  <c r="V19" i="1"/>
  <c r="U31" i="1" s="1"/>
  <c r="P22" i="1"/>
  <c r="P20" i="1"/>
  <c r="P23" i="1"/>
  <c r="P25" i="1"/>
  <c r="P21" i="1"/>
  <c r="P24" i="1"/>
  <c r="P26" i="1"/>
  <c r="P18" i="1"/>
  <c r="O35" i="1" s="1"/>
  <c r="P19" i="1"/>
  <c r="P8" i="1"/>
  <c r="P9" i="1"/>
  <c r="P7" i="1"/>
  <c r="P10" i="1"/>
  <c r="P11" i="1"/>
  <c r="N31" i="1" s="1"/>
  <c r="P12" i="1"/>
  <c r="P13" i="1"/>
  <c r="P14" i="1"/>
  <c r="P6" i="1"/>
  <c r="K28" i="32"/>
  <c r="K33" i="32"/>
  <c r="DR35" i="1" l="1"/>
  <c r="AF35" i="1"/>
  <c r="CB35" i="1"/>
  <c r="AL35" i="1"/>
  <c r="BJ35" i="1"/>
  <c r="BJ39" i="1" s="1"/>
  <c r="FT35" i="1"/>
  <c r="FT39" i="1" s="1"/>
  <c r="O29" i="32" s="1"/>
  <c r="GR35" i="1"/>
  <c r="CH35" i="1"/>
  <c r="CJ35" i="1" s="1"/>
  <c r="DF35" i="1"/>
  <c r="DH35" i="1" s="1"/>
  <c r="ED35" i="1"/>
  <c r="EF35" i="1" s="1"/>
  <c r="T35" i="1"/>
  <c r="V35" i="1" s="1"/>
  <c r="AR35" i="1"/>
  <c r="BP35" i="1"/>
  <c r="BR35" i="1" s="1"/>
  <c r="FZ35" i="1"/>
  <c r="GB35" i="1" s="1"/>
  <c r="N35" i="1"/>
  <c r="CN35" i="1"/>
  <c r="CP35" i="1" s="1"/>
  <c r="H15" i="32" s="1"/>
  <c r="DL35" i="1"/>
  <c r="DN35" i="1" s="1"/>
  <c r="EJ35" i="1"/>
  <c r="EJ39" i="1" s="1"/>
  <c r="FH35" i="1"/>
  <c r="FJ35" i="1" s="1"/>
  <c r="AY35" i="1"/>
  <c r="CO35" i="1"/>
  <c r="DM35" i="1"/>
  <c r="EK35" i="1"/>
  <c r="EL35" i="1" s="1"/>
  <c r="DS35" i="1"/>
  <c r="AM35" i="1"/>
  <c r="FU35" i="1"/>
  <c r="GS35" i="1"/>
  <c r="FC33" i="1"/>
  <c r="AS33" i="1"/>
  <c r="AS39" i="1" s="1"/>
  <c r="U33" i="1"/>
  <c r="U39" i="1" s="1"/>
  <c r="BQ33" i="1"/>
  <c r="BQ39" i="1" s="1"/>
  <c r="FT33" i="1"/>
  <c r="EJ33" i="1"/>
  <c r="DF33" i="1"/>
  <c r="ED33" i="1"/>
  <c r="FB33" i="1"/>
  <c r="FD33" i="1" s="1"/>
  <c r="AY33" i="1"/>
  <c r="GG33" i="1"/>
  <c r="BK33" i="1"/>
  <c r="BL33" i="1" s="1"/>
  <c r="CI31" i="1"/>
  <c r="DG31" i="1"/>
  <c r="CO31" i="1"/>
  <c r="CP31" i="1" s="1"/>
  <c r="CQ31" i="1" s="1"/>
  <c r="AY31" i="1"/>
  <c r="DS31" i="1"/>
  <c r="DT31" i="1" s="1"/>
  <c r="DU31" i="1" s="1"/>
  <c r="AG31" i="1"/>
  <c r="AH31" i="1" s="1"/>
  <c r="AI31" i="1" s="1"/>
  <c r="EK31" i="1"/>
  <c r="EL31" i="1" s="1"/>
  <c r="EM31" i="1" s="1"/>
  <c r="CC31" i="1"/>
  <c r="CD31" i="1" s="1"/>
  <c r="CE31" i="1" s="1"/>
  <c r="DM31" i="1"/>
  <c r="DN31" i="1" s="1"/>
  <c r="DO31" i="1" s="1"/>
  <c r="FU31" i="1"/>
  <c r="FV31" i="1" s="1"/>
  <c r="FW31" i="1" s="1"/>
  <c r="GS31" i="1"/>
  <c r="FC39" i="1"/>
  <c r="GG31" i="1"/>
  <c r="GF35" i="1"/>
  <c r="GH35" i="1" s="1"/>
  <c r="GF33" i="1"/>
  <c r="K14" i="32"/>
  <c r="CI33" i="1"/>
  <c r="CI39" i="1" s="1"/>
  <c r="CH33" i="1"/>
  <c r="CJ31" i="1"/>
  <c r="CK31" i="1" s="1"/>
  <c r="BD33" i="1"/>
  <c r="BD35" i="1"/>
  <c r="BE31" i="1"/>
  <c r="BE35" i="1"/>
  <c r="K9" i="32"/>
  <c r="BE33" i="1"/>
  <c r="K4" i="32"/>
  <c r="AA33" i="1"/>
  <c r="Z33" i="1"/>
  <c r="Z35" i="1"/>
  <c r="AB35" i="1" s="1"/>
  <c r="AA31" i="1"/>
  <c r="FZ33" i="1"/>
  <c r="GB31" i="1"/>
  <c r="GC31" i="1" s="1"/>
  <c r="K30" i="32"/>
  <c r="GA33" i="1"/>
  <c r="GA39" i="1" s="1"/>
  <c r="AT31" i="1"/>
  <c r="AU31" i="1" s="1"/>
  <c r="AR33" i="1"/>
  <c r="AT33" i="1" s="1"/>
  <c r="AT35" i="1"/>
  <c r="BV33" i="1"/>
  <c r="BW31" i="1"/>
  <c r="BW35" i="1"/>
  <c r="K12" i="32"/>
  <c r="BW33" i="1"/>
  <c r="BV35" i="1"/>
  <c r="CN33" i="1"/>
  <c r="K15" i="32"/>
  <c r="CO33" i="1"/>
  <c r="K22" i="32"/>
  <c r="EE33" i="1"/>
  <c r="EF33" i="1" s="1"/>
  <c r="EE31" i="1"/>
  <c r="K20" i="32"/>
  <c r="DS33" i="1"/>
  <c r="DS39" i="1" s="1"/>
  <c r="DR33" i="1"/>
  <c r="BR31" i="1"/>
  <c r="BS31" i="1" s="1"/>
  <c r="BP33" i="1"/>
  <c r="FU33" i="1"/>
  <c r="K23" i="32"/>
  <c r="EK33" i="1"/>
  <c r="EW35" i="1"/>
  <c r="EW31" i="1"/>
  <c r="EX31" i="1" s="1"/>
  <c r="EY31" i="1" s="1"/>
  <c r="EV33" i="1"/>
  <c r="EV35" i="1"/>
  <c r="EW33" i="1"/>
  <c r="DA31" i="1"/>
  <c r="DB31" i="1" s="1"/>
  <c r="DC31" i="1" s="1"/>
  <c r="DA35" i="1"/>
  <c r="K17" i="32"/>
  <c r="DA33" i="1"/>
  <c r="CZ33" i="1"/>
  <c r="CZ35" i="1"/>
  <c r="BK31" i="1"/>
  <c r="BL31" i="1" s="1"/>
  <c r="BM31" i="1" s="1"/>
  <c r="BK35" i="1"/>
  <c r="K19" i="32"/>
  <c r="DM33" i="1"/>
  <c r="DL33" i="1"/>
  <c r="DY31" i="1"/>
  <c r="DZ31" i="1" s="1"/>
  <c r="EA31" i="1" s="1"/>
  <c r="DY35" i="1"/>
  <c r="K21" i="32"/>
  <c r="DY33" i="1"/>
  <c r="DX33" i="1"/>
  <c r="DX35" i="1"/>
  <c r="FO31" i="1"/>
  <c r="FO35" i="1"/>
  <c r="FP31" i="1"/>
  <c r="FQ31" i="1" s="1"/>
  <c r="FO33" i="1"/>
  <c r="FN33" i="1"/>
  <c r="FN35" i="1"/>
  <c r="GS33" i="1"/>
  <c r="GR33" i="1"/>
  <c r="DH31" i="1"/>
  <c r="DI31" i="1" s="1"/>
  <c r="DG33" i="1"/>
  <c r="FB35" i="1"/>
  <c r="FD35" i="1" s="1"/>
  <c r="FD31" i="1"/>
  <c r="FE31" i="1" s="1"/>
  <c r="V31" i="1"/>
  <c r="W31" i="1" s="1"/>
  <c r="T33" i="1"/>
  <c r="V33" i="1" s="1"/>
  <c r="W33" i="1" s="1"/>
  <c r="AM31" i="1"/>
  <c r="AN31" i="1"/>
  <c r="AO31" i="1" s="1"/>
  <c r="AL39" i="1"/>
  <c r="K6" i="32"/>
  <c r="AM33" i="1"/>
  <c r="AN33" i="1" s="1"/>
  <c r="CU35" i="1"/>
  <c r="CT33" i="1"/>
  <c r="CU31" i="1"/>
  <c r="CV31" i="1"/>
  <c r="CW31" i="1" s="1"/>
  <c r="K16" i="32"/>
  <c r="CU33" i="1"/>
  <c r="CT35" i="1"/>
  <c r="EQ31" i="1"/>
  <c r="EQ35" i="1"/>
  <c r="ER31" i="1"/>
  <c r="ES31" i="1" s="1"/>
  <c r="EQ33" i="1"/>
  <c r="EP33" i="1"/>
  <c r="EP35" i="1"/>
  <c r="FI33" i="1"/>
  <c r="FI31" i="1"/>
  <c r="FH33" i="1"/>
  <c r="GL33" i="1"/>
  <c r="GL35" i="1"/>
  <c r="GM31" i="1"/>
  <c r="GN31" i="1" s="1"/>
  <c r="GO31" i="1" s="1"/>
  <c r="GM35" i="1"/>
  <c r="GM33" i="1"/>
  <c r="AF33" i="1"/>
  <c r="AF39" i="1" s="1"/>
  <c r="AG35" i="1"/>
  <c r="K5" i="32"/>
  <c r="AG33" i="1"/>
  <c r="AX33" i="1"/>
  <c r="AZ33" i="1" s="1"/>
  <c r="AX35" i="1"/>
  <c r="AZ35" i="1" s="1"/>
  <c r="H8" i="32" s="1"/>
  <c r="AZ31" i="1"/>
  <c r="BA31" i="1" s="1"/>
  <c r="P37" i="1"/>
  <c r="K2" i="32" s="1"/>
  <c r="O33" i="1"/>
  <c r="O31" i="1"/>
  <c r="N33" i="1"/>
  <c r="CC35" i="1"/>
  <c r="CC33" i="1"/>
  <c r="CB33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DT35" i="1" l="1"/>
  <c r="CD35" i="1"/>
  <c r="DR39" i="1"/>
  <c r="O20" i="32" s="1"/>
  <c r="GL39" i="1"/>
  <c r="BL35" i="1"/>
  <c r="FV35" i="1"/>
  <c r="H29" i="32" s="1"/>
  <c r="AH35" i="1"/>
  <c r="H5" i="32" s="1"/>
  <c r="FB39" i="1"/>
  <c r="O26" i="32" s="1"/>
  <c r="AN35" i="1"/>
  <c r="H6" i="32" s="1"/>
  <c r="BF35" i="1"/>
  <c r="H9" i="32" s="1"/>
  <c r="CN39" i="1"/>
  <c r="O15" i="32" s="1"/>
  <c r="GF39" i="1"/>
  <c r="ED39" i="1"/>
  <c r="O22" i="32" s="1"/>
  <c r="DF39" i="1"/>
  <c r="CH39" i="1"/>
  <c r="O14" i="32" s="1"/>
  <c r="FZ39" i="1"/>
  <c r="O30" i="32" s="1"/>
  <c r="GT35" i="1"/>
  <c r="H33" i="32" s="1"/>
  <c r="FP35" i="1"/>
  <c r="H28" i="32" s="1"/>
  <c r="DZ35" i="1"/>
  <c r="H21" i="32" s="1"/>
  <c r="CV35" i="1"/>
  <c r="H16" i="32" s="1"/>
  <c r="BX35" i="1"/>
  <c r="CU39" i="1"/>
  <c r="ER35" i="1"/>
  <c r="EX35" i="1"/>
  <c r="H25" i="32" s="1"/>
  <c r="DB35" i="1"/>
  <c r="H17" i="32" s="1"/>
  <c r="GG39" i="1"/>
  <c r="AY39" i="1"/>
  <c r="BR33" i="1"/>
  <c r="DH33" i="1"/>
  <c r="DI33" i="1" s="1"/>
  <c r="DI35" i="1" s="1"/>
  <c r="DI37" i="1" s="1"/>
  <c r="DI39" i="1" s="1"/>
  <c r="AH33" i="1"/>
  <c r="AI33" i="1" s="1"/>
  <c r="GN33" i="1"/>
  <c r="GO33" i="1" s="1"/>
  <c r="GH33" i="1"/>
  <c r="E31" i="32" s="1"/>
  <c r="AX39" i="1"/>
  <c r="O8" i="32" s="1"/>
  <c r="DZ33" i="1"/>
  <c r="EA33" i="1" s="1"/>
  <c r="DT33" i="1"/>
  <c r="DU33" i="1" s="1"/>
  <c r="BM33" i="1"/>
  <c r="FI39" i="1"/>
  <c r="P27" i="32" s="1"/>
  <c r="DN33" i="1"/>
  <c r="E19" i="32" s="1"/>
  <c r="CD33" i="1"/>
  <c r="CE33" i="1" s="1"/>
  <c r="GT33" i="1"/>
  <c r="E33" i="32" s="1"/>
  <c r="ER33" i="1"/>
  <c r="ES33" i="1" s="1"/>
  <c r="GS39" i="1"/>
  <c r="P33" i="32" s="1"/>
  <c r="DG39" i="1"/>
  <c r="P18" i="32" s="1"/>
  <c r="CC39" i="1"/>
  <c r="EQ39" i="1"/>
  <c r="P24" i="32" s="1"/>
  <c r="EK39" i="1"/>
  <c r="P23" i="32" s="1"/>
  <c r="DM39" i="1"/>
  <c r="P19" i="32" s="1"/>
  <c r="GT31" i="1"/>
  <c r="GU31" i="1" s="1"/>
  <c r="BA33" i="1"/>
  <c r="BA35" i="1" s="1"/>
  <c r="BA37" i="1" s="1"/>
  <c r="BA39" i="1" s="1"/>
  <c r="N8" i="32" s="1"/>
  <c r="CO39" i="1"/>
  <c r="P15" i="32" s="1"/>
  <c r="FU39" i="1"/>
  <c r="P29" i="32" s="1"/>
  <c r="FJ31" i="1"/>
  <c r="FK31" i="1" s="1"/>
  <c r="AO33" i="1"/>
  <c r="GH31" i="1"/>
  <c r="GI31" i="1" s="1"/>
  <c r="AU33" i="1"/>
  <c r="AU35" i="1" s="1"/>
  <c r="AU37" i="1" s="1"/>
  <c r="AU39" i="1" s="1"/>
  <c r="CJ33" i="1"/>
  <c r="CK33" i="1" s="1"/>
  <c r="CK35" i="1" s="1"/>
  <c r="CK37" i="1" s="1"/>
  <c r="CK39" i="1" s="1"/>
  <c r="BE39" i="1"/>
  <c r="P9" i="32" s="1"/>
  <c r="BF31" i="1"/>
  <c r="BG31" i="1" s="1"/>
  <c r="BF33" i="1"/>
  <c r="BG33" i="1" s="1"/>
  <c r="BG35" i="1" s="1"/>
  <c r="BG37" i="1" s="1"/>
  <c r="BG39" i="1" s="1"/>
  <c r="BD39" i="1"/>
  <c r="O9" i="32" s="1"/>
  <c r="AB33" i="1"/>
  <c r="E4" i="32" s="1"/>
  <c r="AB31" i="1"/>
  <c r="AA39" i="1"/>
  <c r="P4" i="32" s="1"/>
  <c r="Z39" i="1"/>
  <c r="O4" i="32" s="1"/>
  <c r="GB33" i="1"/>
  <c r="GC33" i="1" s="1"/>
  <c r="GC35" i="1" s="1"/>
  <c r="GC37" i="1" s="1"/>
  <c r="GC39" i="1" s="1"/>
  <c r="AR39" i="1"/>
  <c r="O7" i="32" s="1"/>
  <c r="BW39" i="1"/>
  <c r="P12" i="32" s="1"/>
  <c r="BX31" i="1"/>
  <c r="BY31" i="1" s="1"/>
  <c r="BX33" i="1"/>
  <c r="E12" i="32" s="1"/>
  <c r="BV39" i="1"/>
  <c r="O12" i="32" s="1"/>
  <c r="CP33" i="1"/>
  <c r="CQ33" i="1" s="1"/>
  <c r="CQ35" i="1" s="1"/>
  <c r="CQ37" i="1" s="1"/>
  <c r="CQ39" i="1" s="1"/>
  <c r="EF31" i="1"/>
  <c r="EG31" i="1" s="1"/>
  <c r="EG33" i="1" s="1"/>
  <c r="EG35" i="1" s="1"/>
  <c r="EG37" i="1" s="1"/>
  <c r="EG39" i="1" s="1"/>
  <c r="EE39" i="1"/>
  <c r="P22" i="32" s="1"/>
  <c r="BS33" i="1"/>
  <c r="BS35" i="1" s="1"/>
  <c r="BS37" i="1" s="1"/>
  <c r="BS39" i="1" s="1"/>
  <c r="BP39" i="1"/>
  <c r="O11" i="32" s="1"/>
  <c r="FV33" i="1"/>
  <c r="FW33" i="1" s="1"/>
  <c r="EL33" i="1"/>
  <c r="EM33" i="1" s="1"/>
  <c r="EM35" i="1" s="1"/>
  <c r="EM37" i="1" s="1"/>
  <c r="EM39" i="1" s="1"/>
  <c r="EV39" i="1"/>
  <c r="O25" i="32" s="1"/>
  <c r="EX33" i="1"/>
  <c r="EY33" i="1" s="1"/>
  <c r="EW39" i="1"/>
  <c r="P25" i="32" s="1"/>
  <c r="DB33" i="1"/>
  <c r="DC33" i="1" s="1"/>
  <c r="DC35" i="1" s="1"/>
  <c r="DC37" i="1" s="1"/>
  <c r="DC39" i="1" s="1"/>
  <c r="CZ39" i="1"/>
  <c r="O17" i="32" s="1"/>
  <c r="DA39" i="1"/>
  <c r="P17" i="32" s="1"/>
  <c r="BK39" i="1"/>
  <c r="P10" i="32" s="1"/>
  <c r="DL39" i="1"/>
  <c r="O19" i="32" s="1"/>
  <c r="DX39" i="1"/>
  <c r="O21" i="32" s="1"/>
  <c r="DY39" i="1"/>
  <c r="P21" i="32" s="1"/>
  <c r="FP33" i="1"/>
  <c r="FQ33" i="1" s="1"/>
  <c r="FN39" i="1"/>
  <c r="O28" i="32" s="1"/>
  <c r="FO39" i="1"/>
  <c r="P28" i="32" s="1"/>
  <c r="GR39" i="1"/>
  <c r="O33" i="32" s="1"/>
  <c r="FE33" i="1"/>
  <c r="FE35" i="1" s="1"/>
  <c r="FE37" i="1" s="1"/>
  <c r="FE39" i="1" s="1"/>
  <c r="T39" i="1"/>
  <c r="O3" i="32" s="1"/>
  <c r="W35" i="1"/>
  <c r="W37" i="1" s="1"/>
  <c r="W39" i="1" s="1"/>
  <c r="AM39" i="1"/>
  <c r="P6" i="32" s="1"/>
  <c r="CT39" i="1"/>
  <c r="O16" i="32" s="1"/>
  <c r="CV33" i="1"/>
  <c r="CW33" i="1" s="1"/>
  <c r="CW35" i="1" s="1"/>
  <c r="CW37" i="1" s="1"/>
  <c r="CW39" i="1" s="1"/>
  <c r="EP39" i="1"/>
  <c r="O24" i="32" s="1"/>
  <c r="FH39" i="1"/>
  <c r="O27" i="32" s="1"/>
  <c r="FJ33" i="1"/>
  <c r="E27" i="32" s="1"/>
  <c r="GM39" i="1"/>
  <c r="P32" i="32" s="1"/>
  <c r="GN35" i="1"/>
  <c r="H32" i="32" s="1"/>
  <c r="AG39" i="1"/>
  <c r="P5" i="32" s="1"/>
  <c r="CB39" i="1"/>
  <c r="O13" i="32" s="1"/>
  <c r="P14" i="32"/>
  <c r="P30" i="32"/>
  <c r="P11" i="32"/>
  <c r="P26" i="32"/>
  <c r="P13" i="32"/>
  <c r="P16" i="32"/>
  <c r="P8" i="32"/>
  <c r="P7" i="32"/>
  <c r="P3" i="32"/>
  <c r="P31" i="32"/>
  <c r="B20" i="32"/>
  <c r="P20" i="32"/>
  <c r="H18" i="32"/>
  <c r="E11" i="32"/>
  <c r="H13" i="32"/>
  <c r="H24" i="32"/>
  <c r="H12" i="32"/>
  <c r="O6" i="32"/>
  <c r="P35" i="1"/>
  <c r="H2" i="32" s="1"/>
  <c r="H7" i="32"/>
  <c r="H14" i="32"/>
  <c r="E8" i="32"/>
  <c r="H27" i="32"/>
  <c r="E10" i="32"/>
  <c r="H4" i="32"/>
  <c r="E3" i="32"/>
  <c r="E26" i="32"/>
  <c r="E18" i="32"/>
  <c r="E32" i="32"/>
  <c r="H31" i="32"/>
  <c r="H30" i="32"/>
  <c r="E6" i="32"/>
  <c r="H26" i="32"/>
  <c r="O32" i="32"/>
  <c r="O5" i="32"/>
  <c r="B14" i="32"/>
  <c r="B6" i="32"/>
  <c r="B5" i="32"/>
  <c r="O39" i="1"/>
  <c r="P2" i="32" s="1"/>
  <c r="P31" i="1"/>
  <c r="B30" i="32"/>
  <c r="B21" i="32"/>
  <c r="H19" i="32"/>
  <c r="O31" i="32"/>
  <c r="H10" i="32"/>
  <c r="B19" i="32"/>
  <c r="O10" i="32"/>
  <c r="N39" i="1"/>
  <c r="O2" i="32" s="1"/>
  <c r="P33" i="1"/>
  <c r="B10" i="32"/>
  <c r="H11" i="32"/>
  <c r="O18" i="32"/>
  <c r="B17" i="32"/>
  <c r="E7" i="32"/>
  <c r="Q34" i="32"/>
  <c r="Q35" i="32" s="1"/>
  <c r="B28" i="32"/>
  <c r="O23" i="32"/>
  <c r="H3" i="32"/>
  <c r="R34" i="32"/>
  <c r="R35" i="32" s="1"/>
  <c r="B11" i="32"/>
  <c r="S34" i="32"/>
  <c r="S35" i="32" s="1"/>
  <c r="B26" i="32"/>
  <c r="B32" i="32"/>
  <c r="K24" i="32"/>
  <c r="K34" i="32" s="1"/>
  <c r="K35" i="32" s="1"/>
  <c r="DU35" i="1" l="1"/>
  <c r="DU37" i="1" s="1"/>
  <c r="DU39" i="1" s="1"/>
  <c r="CE35" i="1"/>
  <c r="CE37" i="1" s="1"/>
  <c r="CE39" i="1" s="1"/>
  <c r="FW35" i="1"/>
  <c r="FW37" i="1" s="1"/>
  <c r="FW39" i="1" s="1"/>
  <c r="N29" i="32" s="1"/>
  <c r="FQ35" i="1"/>
  <c r="FQ37" i="1" s="1"/>
  <c r="FQ39" i="1" s="1"/>
  <c r="AI35" i="1"/>
  <c r="AI37" i="1" s="1"/>
  <c r="AI39" i="1" s="1"/>
  <c r="N5" i="32" s="1"/>
  <c r="AO35" i="1"/>
  <c r="AO37" i="1" s="1"/>
  <c r="AO39" i="1" s="1"/>
  <c r="N6" i="32" s="1"/>
  <c r="BM35" i="1"/>
  <c r="BM37" i="1" s="1"/>
  <c r="BM39" i="1" s="1"/>
  <c r="EA35" i="1"/>
  <c r="EA37" i="1" s="1"/>
  <c r="EA39" i="1" s="1"/>
  <c r="N21" i="32" s="1"/>
  <c r="EY35" i="1"/>
  <c r="EY37" i="1" s="1"/>
  <c r="EY39" i="1" s="1"/>
  <c r="N25" i="32" s="1"/>
  <c r="ES35" i="1"/>
  <c r="ES37" i="1" s="1"/>
  <c r="ES39" i="1" s="1"/>
  <c r="N24" i="32" s="1"/>
  <c r="E5" i="32"/>
  <c r="E24" i="32"/>
  <c r="GI33" i="1"/>
  <c r="GI35" i="1" s="1"/>
  <c r="GI37" i="1" s="1"/>
  <c r="GI39" i="1" s="1"/>
  <c r="N31" i="32" s="1"/>
  <c r="DO33" i="1"/>
  <c r="DO35" i="1" s="1"/>
  <c r="DO37" i="1" s="1"/>
  <c r="DO39" i="1" s="1"/>
  <c r="N19" i="32" s="1"/>
  <c r="E13" i="32"/>
  <c r="E29" i="32"/>
  <c r="GU33" i="1"/>
  <c r="GU35" i="1" s="1"/>
  <c r="GU37" i="1" s="1"/>
  <c r="GU39" i="1" s="1"/>
  <c r="N33" i="32" s="1"/>
  <c r="E15" i="32"/>
  <c r="E30" i="32"/>
  <c r="E16" i="32"/>
  <c r="E9" i="32"/>
  <c r="E23" i="32"/>
  <c r="E17" i="32"/>
  <c r="E14" i="32"/>
  <c r="E25" i="32"/>
  <c r="B33" i="32"/>
  <c r="FK33" i="1"/>
  <c r="FK35" i="1" s="1"/>
  <c r="FK37" i="1" s="1"/>
  <c r="FK39" i="1" s="1"/>
  <c r="N27" i="32" s="1"/>
  <c r="B27" i="32"/>
  <c r="B22" i="32"/>
  <c r="B9" i="32"/>
  <c r="B31" i="32"/>
  <c r="GO35" i="1"/>
  <c r="GO37" i="1" s="1"/>
  <c r="GO39" i="1" s="1"/>
  <c r="N32" i="32" s="1"/>
  <c r="AC31" i="1"/>
  <c r="AC33" i="1" s="1"/>
  <c r="AC35" i="1" s="1"/>
  <c r="AC37" i="1" s="1"/>
  <c r="AC39" i="1" s="1"/>
  <c r="N4" i="32" s="1"/>
  <c r="B4" i="32"/>
  <c r="BY33" i="1"/>
  <c r="BY35" i="1" s="1"/>
  <c r="BY37" i="1" s="1"/>
  <c r="BY39" i="1" s="1"/>
  <c r="N12" i="32" s="1"/>
  <c r="B7" i="32"/>
  <c r="B16" i="32"/>
  <c r="B23" i="32"/>
  <c r="B18" i="32"/>
  <c r="N11" i="32"/>
  <c r="B12" i="32"/>
  <c r="B15" i="32"/>
  <c r="B8" i="32"/>
  <c r="N14" i="32"/>
  <c r="N23" i="32"/>
  <c r="N9" i="32"/>
  <c r="N26" i="32"/>
  <c r="N13" i="32"/>
  <c r="N10" i="32"/>
  <c r="N15" i="32"/>
  <c r="N30" i="32"/>
  <c r="N17" i="32"/>
  <c r="N16" i="32"/>
  <c r="B13" i="32"/>
  <c r="N18" i="32"/>
  <c r="P34" i="32"/>
  <c r="P35" i="32" s="1"/>
  <c r="B2" i="32"/>
  <c r="Q31" i="1"/>
  <c r="Q33" i="1" s="1"/>
  <c r="Q35" i="1" s="1"/>
  <c r="Q37" i="1" s="1"/>
  <c r="Q39" i="1" s="1"/>
  <c r="N2" i="32" s="1"/>
  <c r="B25" i="32"/>
  <c r="N28" i="32"/>
  <c r="E28" i="32"/>
  <c r="H23" i="32"/>
  <c r="N7" i="32"/>
  <c r="E2" i="32"/>
  <c r="N22" i="32"/>
  <c r="E22" i="32"/>
  <c r="E21" i="32"/>
  <c r="H20" i="32"/>
  <c r="H22" i="32"/>
  <c r="N20" i="32"/>
  <c r="E20" i="32"/>
  <c r="O34" i="32"/>
  <c r="O35" i="32" s="1"/>
  <c r="N3" i="32"/>
  <c r="B3" i="32"/>
  <c r="B29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<sst xmlns="http://schemas.openxmlformats.org/spreadsheetml/2006/main" count="1244" uniqueCount="116">
  <si>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</si>
  <si>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</si>
  <si>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</si>
  <si>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</si>
  <si>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</si>
  <si>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</si>
  <si>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</si>
  <si>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</si>
  <si>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</si>
  <si>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</si>
  <si>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</si>
  <si>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</si>
  <si>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</si>
  <si>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</si>
  <si>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</si>
  <si>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</si>
  <si>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</si>
  <si>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</si>
  <si>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</si>
  <si>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</si>
  <si>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</si>
  <si>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</si>
  <si>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</si>
  <si>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</si>
  <si>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</si>
  <si>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</si>
  <si>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</si>
  <si>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</si>
  <si>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</si>
  <si>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</si>
  <si>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</si>
  <si>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</si>
  <si>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</si>
  <si>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</si>
  <si>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</si>
  <si>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</si>
  <si>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</si>
  <si>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</si>
  <si>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</si>
  <si>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</si>
  <si>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</si>
  <si>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</si>
  <si>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</si>
  <si>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</si>
  <si>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</si>
  <si>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</si>
  <si>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</si>
  <si>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</si>
  <si>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</si>
  <si>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</si>
  <si>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</si>
  <si>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</si>
  <si>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</si>
  <si>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</si>
  <si>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</si>
  <si>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</si>
  <si>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</si>
  <si>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</si>
  <si>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</si>
  <si>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</si>
  <si>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</si>
  <si>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</si>
  <si>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</si>
  <si>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</si>
  <si>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</si>
  <si>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</si>
  <si>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</si>
  <si>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</si>
  <si>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cj.winzer@t-online.de (Jukkel)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</si>
  <si>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</si>
  <si>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</si>
  <si>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</si>
  <si>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</si>
  <si>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</si>
  <si>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</si>
  <si>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</si>
  <si>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</si>
  <si>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</si>
  <si>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</si>
  <si>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</si>
  <si>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</si>
  <si>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</si>
  <si>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</si>
  <si>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</si>
  <si>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</si>
  <si>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</si>
  <si>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</si>
  <si>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</si>
  <si>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</si>
  <si>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</si>
  <si>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</si>
  <si>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</si>
  <si>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</si>
  <si>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</si>
  <si>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</si>
  <si>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</si>
  <si>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</si>
  <si>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</si>
  <si>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</si>
  <si>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</si>
  <si>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</si>
  <si>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</si>
  <si>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</si>
  <si>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</si>
  <si>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</si>
  <si>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</si>
  <si>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</si>
  <si>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</si>
  <si>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</si>
  <si>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so</t>
  </si>
  <si>
    <t>sa</t>
  </si>
  <si>
    <t>fr</t>
  </si>
  <si>
    <t>12.TT</t>
  </si>
  <si>
    <t>21.11. - 23.11.</t>
  </si>
  <si>
    <t>11. Spieltag</t>
  </si>
  <si>
    <t>13.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</si>
</sst>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tabSelected="1" zoomScale="75" workbookViewId="0">
      <selection activeCell="W38" sqref="W38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VALUE('12.TT'!$P$31)</f>
        <v>3</v>
      </c>
      <c r="C2" s="64"/>
      <c r="D2" s="64" t="s">
        <v>51</v>
      </c>
      <c r="E2" s="63">
        <f>VALUE('12.TT'!$P$33)</f>
        <v>12</v>
      </c>
      <c r="F2" s="64"/>
      <c r="G2" s="64" t="s">
        <v>51</v>
      </c>
      <c r="H2" s="63">
        <f>VALUE('12.TT'!$P$35)</f>
        <v>5</v>
      </c>
      <c r="I2" s="63"/>
      <c r="J2" s="64" t="s">
        <v>51</v>
      </c>
      <c r="K2" s="63">
        <f>VALUE('12.TT'!$P$37)</f>
        <v>0</v>
      </c>
      <c r="M2" s="10" t="s">
        <v>51</v>
      </c>
      <c r="N2" s="11">
        <f>VALUE('12.TT'!Q39)+T2</f>
        <v>20</v>
      </c>
      <c r="O2" s="11">
        <f>VALUE('12.TT'!N39)</f>
        <v>12</v>
      </c>
      <c r="P2" s="11">
        <f>VALUE('12.TT'!O39)</f>
        <v>8</v>
      </c>
      <c r="Q2" s="63">
        <f>COUNTIF('12.TT'!P6:P26,3)</f>
        <v>3</v>
      </c>
      <c r="R2" s="63">
        <f>COUNTIF('12.TT'!P6:P26,2)</f>
        <v>3</v>
      </c>
      <c r="S2" s="63">
        <f>COUNTIF('12.TT'!P6:P26,1)</f>
        <v>5</v>
      </c>
      <c r="T2" s="73"/>
    </row>
    <row r="3" spans="1:20" ht="15" x14ac:dyDescent="0.25">
      <c r="A3" s="64" t="s">
        <v>17</v>
      </c>
      <c r="B3" s="63">
        <f>VALUE('12.TT'!$V$31)</f>
        <v>1</v>
      </c>
      <c r="C3" s="64"/>
      <c r="D3" s="64" t="s">
        <v>17</v>
      </c>
      <c r="E3" s="63">
        <f>VALUE('12.TT'!$V$33)</f>
        <v>14</v>
      </c>
      <c r="F3" s="64"/>
      <c r="G3" s="64" t="s">
        <v>17</v>
      </c>
      <c r="H3" s="63">
        <f>VALUE('12.TT'!$V$35)</f>
        <v>6</v>
      </c>
      <c r="I3" s="63"/>
      <c r="J3" s="64" t="s">
        <v>17</v>
      </c>
      <c r="K3" s="63">
        <f>VALUE('12.TT'!$V$37)</f>
        <v>0</v>
      </c>
      <c r="M3" s="10" t="s">
        <v>17</v>
      </c>
      <c r="N3" s="11">
        <f>VALUE('12.TT'!W39)+T3</f>
        <v>21</v>
      </c>
      <c r="O3" s="11">
        <f>VALUE('12.TT'!T39)</f>
        <v>12</v>
      </c>
      <c r="P3" s="11">
        <f>VALUE('12.TT'!U39)</f>
        <v>9</v>
      </c>
      <c r="Q3" s="63">
        <f>COUNTIF('12.TT'!V6:V26,3)</f>
        <v>3</v>
      </c>
      <c r="R3" s="63">
        <f>COUNTIF('12.TT'!V6:V26,2)</f>
        <v>3</v>
      </c>
      <c r="S3" s="63">
        <f>COUNTIF('12.TT'!V6:V26,1)</f>
        <v>6</v>
      </c>
      <c r="T3" s="73"/>
    </row>
    <row r="4" spans="1:20" ht="15" x14ac:dyDescent="0.25">
      <c r="A4" s="64" t="s">
        <v>23</v>
      </c>
      <c r="B4" s="63">
        <f>VALUE('12.TT'!$AB$31)</f>
        <v>0</v>
      </c>
      <c r="C4" s="64"/>
      <c r="D4" s="64" t="s">
        <v>23</v>
      </c>
      <c r="E4" s="63">
        <f>VALUE('12.TT'!$AB$33)</f>
        <v>9</v>
      </c>
      <c r="F4" s="64"/>
      <c r="G4" s="64" t="s">
        <v>23</v>
      </c>
      <c r="H4" s="63">
        <f>VALUE('12.TT'!$AB$35)</f>
        <v>5</v>
      </c>
      <c r="I4" s="63"/>
      <c r="J4" s="64" t="s">
        <v>23</v>
      </c>
      <c r="K4" s="63">
        <f>VALUE('12.TT'!$AB$37)</f>
        <v>0</v>
      </c>
      <c r="M4" s="10" t="s">
        <v>23</v>
      </c>
      <c r="N4" s="11">
        <f>VALUE('12.TT'!AC39)+T4</f>
        <v>14</v>
      </c>
      <c r="O4" s="11">
        <f>VALUE('12.TT'!Z39)</f>
        <v>7</v>
      </c>
      <c r="P4" s="11">
        <f>VALUE('12.TT'!AA39)</f>
        <v>7</v>
      </c>
      <c r="Q4" s="63">
        <f>COUNTIF('12.TT'!AB6:AB26,3)</f>
        <v>0</v>
      </c>
      <c r="R4" s="63">
        <f>COUNTIF('12.TT'!AB6:AB26,2)</f>
        <v>5</v>
      </c>
      <c r="S4" s="63">
        <f>COUNTIF('12.TT'!AB6:AB26,1)</f>
        <v>4</v>
      </c>
      <c r="T4" s="73"/>
    </row>
    <row r="5" spans="1:20" ht="15" x14ac:dyDescent="0.25">
      <c r="A5" s="64" t="s">
        <v>58</v>
      </c>
      <c r="B5" s="63">
        <f>VALUE('12.TT'!$AH$31)</f>
        <v>1</v>
      </c>
      <c r="C5" s="64"/>
      <c r="D5" s="64" t="s">
        <v>58</v>
      </c>
      <c r="E5" s="63">
        <f>VALUE('12.TT'!$AH$33)</f>
        <v>8</v>
      </c>
      <c r="F5" s="64"/>
      <c r="G5" s="64" t="s">
        <v>58</v>
      </c>
      <c r="H5" s="63">
        <f>VALUE('12.TT'!$AH$35)</f>
        <v>4</v>
      </c>
      <c r="I5" s="63"/>
      <c r="J5" s="64" t="s">
        <v>58</v>
      </c>
      <c r="K5" s="63">
        <f>VALUE('12.TT'!$AH$37)</f>
        <v>0</v>
      </c>
      <c r="M5" s="10" t="s">
        <v>58</v>
      </c>
      <c r="N5" s="11">
        <f>VALUE('12.TT'!AI39)+T5</f>
        <v>13</v>
      </c>
      <c r="O5" s="11">
        <f>VALUE('12.TT'!AF39)</f>
        <v>6</v>
      </c>
      <c r="P5" s="11">
        <f>VALUE('12.TT'!AG39)</f>
        <v>7</v>
      </c>
      <c r="Q5" s="63">
        <f>COUNTIF('12.TT'!AH6:AH26,3)</f>
        <v>1</v>
      </c>
      <c r="R5" s="63">
        <f>COUNTIF('12.TT'!AH6:AH26,2)</f>
        <v>2</v>
      </c>
      <c r="S5" s="63">
        <f>COUNTIF('12.TT'!AH6:AH26,1)</f>
        <v>6</v>
      </c>
      <c r="T5" s="73"/>
    </row>
    <row r="6" spans="1:20" ht="15" x14ac:dyDescent="0.25">
      <c r="A6" s="64" t="s">
        <v>59</v>
      </c>
      <c r="B6" s="63">
        <f>VALUE('12.TT'!$AN$31)</f>
        <v>5</v>
      </c>
      <c r="C6" s="64"/>
      <c r="D6" s="64" t="s">
        <v>59</v>
      </c>
      <c r="E6" s="63">
        <f>VALUE('12.TT'!$AN$33)</f>
        <v>9</v>
      </c>
      <c r="F6" s="64"/>
      <c r="G6" s="64" t="s">
        <v>59</v>
      </c>
      <c r="H6" s="63">
        <f>VALUE('12.TT'!$AN$35)</f>
        <v>2</v>
      </c>
      <c r="I6" s="63"/>
      <c r="J6" s="64" t="s">
        <v>59</v>
      </c>
      <c r="K6" s="63">
        <f>VALUE('12.TT'!$AN$37)</f>
        <v>0</v>
      </c>
      <c r="M6" s="10" t="s">
        <v>59</v>
      </c>
      <c r="N6" s="11">
        <f>VALUE('12.TT'!AO39)+T6</f>
        <v>16</v>
      </c>
      <c r="O6" s="11">
        <f>VALUE('12.TT'!AL39)</f>
        <v>6</v>
      </c>
      <c r="P6" s="11">
        <f>VALUE('12.TT'!AM39)</f>
        <v>10</v>
      </c>
      <c r="Q6" s="63">
        <f>COUNTIF('12.TT'!AN6:AN26,3)</f>
        <v>2</v>
      </c>
      <c r="R6" s="63">
        <f>COUNTIF('12.TT'!AN6:AN26,2)</f>
        <v>3</v>
      </c>
      <c r="S6" s="63">
        <f>COUNTIF('12.TT'!AN6:AN26,1)</f>
        <v>4</v>
      </c>
      <c r="T6" s="73"/>
    </row>
    <row r="7" spans="1:20" ht="15" x14ac:dyDescent="0.25">
      <c r="A7" s="64" t="s">
        <v>52</v>
      </c>
      <c r="B7" s="63">
        <f>VALUE('12.TT'!$AT$31)</f>
        <v>2</v>
      </c>
      <c r="C7" s="64"/>
      <c r="D7" s="64" t="s">
        <v>52</v>
      </c>
      <c r="E7" s="63">
        <f>VALUE('12.TT'!$AT$33)</f>
        <v>9</v>
      </c>
      <c r="F7" s="64"/>
      <c r="G7" s="64" t="s">
        <v>52</v>
      </c>
      <c r="H7" s="63">
        <f>VALUE('12.TT'!$AT$35)</f>
        <v>5</v>
      </c>
      <c r="I7" s="63"/>
      <c r="J7" s="64" t="s">
        <v>52</v>
      </c>
      <c r="K7" s="63">
        <f>VALUE('12.TT'!$AT$37)</f>
        <v>0</v>
      </c>
      <c r="M7" s="10" t="s">
        <v>52</v>
      </c>
      <c r="N7" s="11">
        <f>VALUE('12.TT'!AU39)+T7</f>
        <v>16</v>
      </c>
      <c r="O7" s="11">
        <f>VALUE('12.TT'!AR39)</f>
        <v>9</v>
      </c>
      <c r="P7" s="11">
        <f>VALUE('12.TT'!AS39)</f>
        <v>7</v>
      </c>
      <c r="Q7" s="63">
        <f>COUNTIF('12.TT'!AT6:AT26,3)</f>
        <v>1</v>
      </c>
      <c r="R7" s="63">
        <f>COUNTIF('12.TT'!AT6:AT26,2)</f>
        <v>3</v>
      </c>
      <c r="S7" s="63">
        <f>COUNTIF('12.TT'!AT6:AT26,1)</f>
        <v>7</v>
      </c>
      <c r="T7" s="73"/>
    </row>
    <row r="8" spans="1:20" ht="15" x14ac:dyDescent="0.25">
      <c r="A8" s="64" t="s">
        <v>53</v>
      </c>
      <c r="B8" s="63">
        <f>VALUE('12.TT'!$AZ$31)</f>
        <v>5</v>
      </c>
      <c r="C8" s="64"/>
      <c r="D8" s="64" t="s">
        <v>53</v>
      </c>
      <c r="E8" s="63">
        <f>VALUE('12.TT'!$AZ$33)</f>
        <v>7</v>
      </c>
      <c r="F8" s="64"/>
      <c r="G8" s="64" t="s">
        <v>53</v>
      </c>
      <c r="H8" s="63">
        <f>VALUE('12.TT'!$AZ$35)</f>
        <v>2</v>
      </c>
      <c r="I8" s="63"/>
      <c r="J8" s="64" t="s">
        <v>53</v>
      </c>
      <c r="K8" s="63">
        <f>VALUE('12.TT'!$AZ$37)</f>
        <v>0</v>
      </c>
      <c r="M8" s="10" t="s">
        <v>53</v>
      </c>
      <c r="N8" s="11">
        <f>VALUE('12.TT'!BA39)+T8</f>
        <v>14</v>
      </c>
      <c r="O8" s="11">
        <f>VALUE('12.TT'!AX39)</f>
        <v>8</v>
      </c>
      <c r="P8" s="11">
        <f>VALUE('12.TT'!AY39)</f>
        <v>6</v>
      </c>
      <c r="Q8" s="63">
        <f>COUNTIF('12.TT'!AZ6:AZ26,3)</f>
        <v>2</v>
      </c>
      <c r="R8" s="63">
        <f>COUNTIF('12.TT'!AZ6:AZ26,2)</f>
        <v>2</v>
      </c>
      <c r="S8" s="63">
        <f>COUNTIF('12.TT'!AZ6:AZ26,1)</f>
        <v>4</v>
      </c>
      <c r="T8" s="73"/>
    </row>
    <row r="9" spans="1:20" ht="15" x14ac:dyDescent="0.25">
      <c r="A9" s="64" t="s">
        <v>47</v>
      </c>
      <c r="B9" s="63">
        <f>VALUE('12.TT'!$BF$31)</f>
        <v>3</v>
      </c>
      <c r="C9" s="64"/>
      <c r="D9" s="64" t="s">
        <v>47</v>
      </c>
      <c r="E9" s="63">
        <f>VALUE('12.TT'!$BF$33)</f>
        <v>4</v>
      </c>
      <c r="F9" s="64"/>
      <c r="G9" s="64" t="s">
        <v>47</v>
      </c>
      <c r="H9" s="63">
        <f>VALUE('12.TT'!$BF$35)</f>
        <v>2</v>
      </c>
      <c r="I9" s="63"/>
      <c r="J9" s="64" t="s">
        <v>47</v>
      </c>
      <c r="K9" s="63">
        <f>VALUE('12.TT'!$BF$37)</f>
        <v>0</v>
      </c>
      <c r="M9" s="10" t="s">
        <v>47</v>
      </c>
      <c r="N9" s="11">
        <f>VALUE('12.TT'!BG39)+T9</f>
        <v>9</v>
      </c>
      <c r="O9" s="11">
        <f>VALUE('12.TT'!BD39)</f>
        <v>7</v>
      </c>
      <c r="P9" s="11">
        <f>VALUE('12.TT'!BE39)</f>
        <v>2</v>
      </c>
      <c r="Q9" s="63">
        <f>COUNTIF('12.TT'!BF6:BF26,3)</f>
        <v>1</v>
      </c>
      <c r="R9" s="63">
        <f>COUNTIF('12.TT'!BF6:BF26,2)</f>
        <v>0</v>
      </c>
      <c r="S9" s="63">
        <f>COUNTIF('12.TT'!BF6:BF26,1)</f>
        <v>6</v>
      </c>
      <c r="T9" s="73"/>
    </row>
    <row r="10" spans="1:20" ht="15" x14ac:dyDescent="0.25">
      <c r="A10" s="64" t="s">
        <v>16</v>
      </c>
      <c r="B10" s="63">
        <f>VALUE('12.TT'!$BL$31)</f>
        <v>3</v>
      </c>
      <c r="C10" s="64"/>
      <c r="D10" s="64" t="s">
        <v>16</v>
      </c>
      <c r="E10" s="63">
        <f>VALUE('12.TT'!$BL$33)</f>
        <v>13</v>
      </c>
      <c r="F10" s="64"/>
      <c r="G10" s="64" t="s">
        <v>16</v>
      </c>
      <c r="H10" s="63">
        <f>VALUE('12.TT'!$BL$35)</f>
        <v>5</v>
      </c>
      <c r="I10" s="63"/>
      <c r="J10" s="64" t="s">
        <v>16</v>
      </c>
      <c r="K10" s="63">
        <f>VALUE('12.TT'!$BL$37)</f>
        <v>0</v>
      </c>
      <c r="M10" s="10" t="s">
        <v>16</v>
      </c>
      <c r="N10" s="11">
        <f>VALUE('12.TT'!BM39)+T10</f>
        <v>21</v>
      </c>
      <c r="O10" s="11">
        <f>VALUE('12.TT'!BJ39)</f>
        <v>13</v>
      </c>
      <c r="P10" s="11">
        <f>VALUE('12.TT'!BK39)</f>
        <v>8</v>
      </c>
      <c r="Q10" s="63">
        <f>COUNTIF('12.TT'!BL6:BL26,3)</f>
        <v>3</v>
      </c>
      <c r="R10" s="63">
        <f>COUNTIF('12.TT'!BL6:BL26,2)</f>
        <v>4</v>
      </c>
      <c r="S10" s="63">
        <f>COUNTIF('12.TT'!BL6:BL26,1)</f>
        <v>4</v>
      </c>
      <c r="T10" s="73"/>
    </row>
    <row r="11" spans="1:20" ht="15" x14ac:dyDescent="0.25">
      <c r="A11" s="64" t="s">
        <v>24</v>
      </c>
      <c r="B11" s="63">
        <f>VALUE('12.TT'!$BR$31)</f>
        <v>1</v>
      </c>
      <c r="C11" s="64"/>
      <c r="D11" s="64" t="s">
        <v>24</v>
      </c>
      <c r="E11" s="63">
        <f>VALUE('12.TT'!$BR$33)</f>
        <v>8</v>
      </c>
      <c r="F11" s="64"/>
      <c r="G11" s="64" t="s">
        <v>24</v>
      </c>
      <c r="H11" s="63">
        <f>VALUE('12.TT'!$BR$35)</f>
        <v>7</v>
      </c>
      <c r="I11" s="63"/>
      <c r="J11" s="64" t="s">
        <v>24</v>
      </c>
      <c r="K11" s="63">
        <f>VALUE('12.TT'!$BR$37)</f>
        <v>0</v>
      </c>
      <c r="M11" s="10" t="s">
        <v>24</v>
      </c>
      <c r="N11" s="11">
        <f>VALUE('12.TT'!BS39)+T11</f>
        <v>16</v>
      </c>
      <c r="O11" s="11">
        <f>VALUE('12.TT'!BP39)</f>
        <v>6</v>
      </c>
      <c r="P11" s="11">
        <f>VALUE('12.TT'!BQ39)</f>
        <v>10</v>
      </c>
      <c r="Q11" s="63">
        <f>COUNTIF('12.TT'!BR6:BR26,3)</f>
        <v>2</v>
      </c>
      <c r="R11" s="63">
        <f>COUNTIF('12.TT'!BR6:BR26,2)</f>
        <v>3</v>
      </c>
      <c r="S11" s="63">
        <f>COUNTIF('12.TT'!BR6:BR26,1)</f>
        <v>4</v>
      </c>
      <c r="T11" s="73"/>
    </row>
    <row r="12" spans="1:20" ht="15" x14ac:dyDescent="0.25">
      <c r="A12" s="64" t="s">
        <v>22</v>
      </c>
      <c r="B12" s="63">
        <f>VALUE('12.TT'!$BX$31)</f>
        <v>3</v>
      </c>
      <c r="C12" s="64"/>
      <c r="D12" s="64" t="s">
        <v>22</v>
      </c>
      <c r="E12" s="63">
        <f>VALUE('12.TT'!$BX$33)</f>
        <v>11</v>
      </c>
      <c r="F12" s="64"/>
      <c r="G12" s="64" t="s">
        <v>22</v>
      </c>
      <c r="H12" s="63">
        <f>VALUE('12.TT'!$BX$35)</f>
        <v>8</v>
      </c>
      <c r="I12" s="63"/>
      <c r="J12" s="64" t="s">
        <v>22</v>
      </c>
      <c r="K12" s="63">
        <f>VALUE('12.TT'!$BX$37)</f>
        <v>0</v>
      </c>
      <c r="M12" s="10" t="s">
        <v>22</v>
      </c>
      <c r="N12" s="11">
        <f>VALUE('12.TT'!BY39)+T12</f>
        <v>22</v>
      </c>
      <c r="O12" s="11">
        <f>VALUE('12.TT'!BV39)</f>
        <v>15</v>
      </c>
      <c r="P12" s="11">
        <f>VALUE('12.TT'!BW39)</f>
        <v>7</v>
      </c>
      <c r="Q12" s="63">
        <f>COUNTIF('12.TT'!BX6:BX26,3)</f>
        <v>1</v>
      </c>
      <c r="R12" s="63">
        <f>COUNTIF('12.TT'!BX6:BX26,2)</f>
        <v>7</v>
      </c>
      <c r="S12" s="63">
        <f>COUNTIF('12.TT'!BX6:BX26,1)</f>
        <v>5</v>
      </c>
      <c r="T12" s="73"/>
    </row>
    <row r="13" spans="1:20" ht="15" x14ac:dyDescent="0.25">
      <c r="A13" s="64" t="s">
        <v>20</v>
      </c>
      <c r="B13" s="63">
        <f>VALUE('12.TT'!$CD$31)</f>
        <v>2</v>
      </c>
      <c r="C13" s="64"/>
      <c r="D13" s="64" t="s">
        <v>20</v>
      </c>
      <c r="E13" s="63">
        <f>VALUE('12.TT'!$CD$33)</f>
        <v>4</v>
      </c>
      <c r="F13" s="64"/>
      <c r="G13" s="64" t="s">
        <v>20</v>
      </c>
      <c r="H13" s="63">
        <f>VALUE('12.TT'!$CD$35)</f>
        <v>2</v>
      </c>
      <c r="I13" s="63"/>
      <c r="J13" s="64" t="s">
        <v>20</v>
      </c>
      <c r="K13" s="63">
        <f>VALUE('12.TT'!$CD$37)</f>
        <v>0</v>
      </c>
      <c r="M13" s="10" t="s">
        <v>20</v>
      </c>
      <c r="N13" s="11">
        <f>VALUE('12.TT'!CE39)+T13</f>
        <v>8</v>
      </c>
      <c r="O13" s="11">
        <f>VALUE('12.TT'!CB39)</f>
        <v>4</v>
      </c>
      <c r="P13" s="11">
        <f>VALUE('12.TT'!CC39)</f>
        <v>4</v>
      </c>
      <c r="Q13" s="63">
        <f>COUNTIF('12.TT'!CD6:CD26,3)</f>
        <v>0</v>
      </c>
      <c r="R13" s="63">
        <f>COUNTIF('12.TT'!CD6:CD26,2)</f>
        <v>1</v>
      </c>
      <c r="S13" s="63">
        <f>COUNTIF('12.TT'!CD6:CD26,1)</f>
        <v>6</v>
      </c>
      <c r="T13" s="73"/>
    </row>
    <row r="14" spans="1:20" ht="15" x14ac:dyDescent="0.25">
      <c r="A14" s="64" t="s">
        <v>25</v>
      </c>
      <c r="B14" s="63">
        <f>VALUE('12.TT'!$CJ$31)</f>
        <v>2</v>
      </c>
      <c r="C14" s="64"/>
      <c r="D14" s="64" t="s">
        <v>25</v>
      </c>
      <c r="E14" s="63">
        <f>VALUE('12.TT'!$CJ$33)</f>
        <v>7</v>
      </c>
      <c r="F14" s="64"/>
      <c r="G14" s="64" t="s">
        <v>25</v>
      </c>
      <c r="H14" s="63">
        <f>VALUE('12.TT'!$CJ$35)</f>
        <v>4</v>
      </c>
      <c r="I14" s="63"/>
      <c r="J14" s="64" t="s">
        <v>25</v>
      </c>
      <c r="K14" s="63">
        <f>VALUE('12.TT'!$CJ$37)</f>
        <v>0</v>
      </c>
      <c r="M14" s="10" t="s">
        <v>25</v>
      </c>
      <c r="N14" s="11">
        <f>VALUE('12.TT'!CK39)+T14</f>
        <v>13</v>
      </c>
      <c r="O14" s="11">
        <f>VALUE('12.TT'!CH39)</f>
        <v>7</v>
      </c>
      <c r="P14" s="11">
        <f>VALUE('12.TT'!CI39)</f>
        <v>6</v>
      </c>
      <c r="Q14" s="63">
        <f>COUNTIF('12.TT'!CJ6:CJ26,3)</f>
        <v>1</v>
      </c>
      <c r="R14" s="63">
        <f>COUNTIF('12.TT'!CJ6:CJ26,2)</f>
        <v>3</v>
      </c>
      <c r="S14" s="63">
        <f>COUNTIF('12.TT'!CJ6:CJ26,1)</f>
        <v>4</v>
      </c>
      <c r="T14" s="73"/>
    </row>
    <row r="15" spans="1:20" ht="15" x14ac:dyDescent="0.25">
      <c r="A15" s="64" t="s">
        <v>48</v>
      </c>
      <c r="B15" s="63">
        <f>VALUE('12.TT'!$CP$31)</f>
        <v>1</v>
      </c>
      <c r="C15" s="64"/>
      <c r="D15" s="64" t="s">
        <v>48</v>
      </c>
      <c r="E15" s="63">
        <f>VALUE('12.TT'!$CP$33)</f>
        <v>10</v>
      </c>
      <c r="F15" s="64"/>
      <c r="G15" s="64" t="s">
        <v>48</v>
      </c>
      <c r="H15" s="63">
        <f>VALUE('12.TT'!$CP$35)</f>
        <v>3</v>
      </c>
      <c r="I15" s="63"/>
      <c r="J15" s="64" t="s">
        <v>48</v>
      </c>
      <c r="K15" s="63">
        <f>VALUE('12.TT'!$CP$37)</f>
        <v>0</v>
      </c>
      <c r="M15" s="10" t="s">
        <v>48</v>
      </c>
      <c r="N15" s="11">
        <f>VALUE('12.TT'!CQ39)+T15</f>
        <v>14</v>
      </c>
      <c r="O15" s="11">
        <f>VALUE('12.TT'!CN39)</f>
        <v>6</v>
      </c>
      <c r="P15" s="11">
        <f>VALUE('12.TT'!CO39)</f>
        <v>8</v>
      </c>
      <c r="Q15" s="63">
        <f>COUNTIF('12.TT'!CP6:CP26,3)</f>
        <v>1</v>
      </c>
      <c r="R15" s="63">
        <f>COUNTIF('12.TT'!CP6:CP26,2)</f>
        <v>2</v>
      </c>
      <c r="S15" s="63">
        <f>COUNTIF('12.TT'!CP6:CP26,1)</f>
        <v>7</v>
      </c>
      <c r="T15" s="73"/>
    </row>
    <row r="16" spans="1:20" ht="15" x14ac:dyDescent="0.25">
      <c r="A16" s="64" t="s">
        <v>21</v>
      </c>
      <c r="B16" s="63">
        <f>VALUE('12.TT'!$CV$31)</f>
        <v>5</v>
      </c>
      <c r="C16" s="64"/>
      <c r="D16" s="64" t="s">
        <v>21</v>
      </c>
      <c r="E16" s="63">
        <f>VALUE('12.TT'!$CV$33)</f>
        <v>14</v>
      </c>
      <c r="F16" s="64"/>
      <c r="G16" s="64" t="s">
        <v>21</v>
      </c>
      <c r="H16" s="63">
        <f>VALUE('12.TT'!$CV$35)</f>
        <v>4</v>
      </c>
      <c r="I16" s="63"/>
      <c r="J16" s="64" t="s">
        <v>21</v>
      </c>
      <c r="K16" s="63">
        <f>VALUE('12.TT'!$CV$37)</f>
        <v>0</v>
      </c>
      <c r="M16" s="10" t="s">
        <v>21</v>
      </c>
      <c r="N16" s="11">
        <f>VALUE('12.TT'!CW39)+T16</f>
        <v>23</v>
      </c>
      <c r="O16" s="11">
        <f>VALUE('12.TT'!CT39)</f>
        <v>16</v>
      </c>
      <c r="P16" s="11">
        <f>VALUE('12.TT'!CU39)</f>
        <v>7</v>
      </c>
      <c r="Q16" s="63">
        <f>COUNTIF('12.TT'!CV6:CV26,3)</f>
        <v>3</v>
      </c>
      <c r="R16" s="63">
        <f>COUNTIF('12.TT'!CV6:CV26,2)</f>
        <v>4</v>
      </c>
      <c r="S16" s="63">
        <f>COUNTIF('12.TT'!CV6:CV26,1)</f>
        <v>6</v>
      </c>
      <c r="T16" s="73"/>
    </row>
    <row r="17" spans="1:20" ht="15" x14ac:dyDescent="0.25">
      <c r="A17" s="64" t="s">
        <v>66</v>
      </c>
      <c r="B17" s="63">
        <f>VALUE('12.TT'!$DB$31)</f>
        <v>1</v>
      </c>
      <c r="C17" s="64"/>
      <c r="D17" s="64" t="s">
        <v>66</v>
      </c>
      <c r="E17" s="63">
        <f>VALUE('12.TT'!$DB$33)</f>
        <v>11</v>
      </c>
      <c r="F17" s="64"/>
      <c r="G17" s="64" t="s">
        <v>66</v>
      </c>
      <c r="H17" s="63">
        <f>VALUE('12.TT'!$DB$35)</f>
        <v>7</v>
      </c>
      <c r="I17" s="63"/>
      <c r="J17" s="64" t="s">
        <v>66</v>
      </c>
      <c r="K17" s="63">
        <f>VALUE('12.TT'!$DB$37)</f>
        <v>0</v>
      </c>
      <c r="M17" s="10" t="s">
        <v>66</v>
      </c>
      <c r="N17" s="11">
        <f>VALUE('12.TT'!DC39)+T17</f>
        <v>19</v>
      </c>
      <c r="O17" s="11">
        <f>VALUE('12.TT'!CZ39)</f>
        <v>11</v>
      </c>
      <c r="P17" s="11">
        <f>VALUE('12.TT'!DA39)</f>
        <v>8</v>
      </c>
      <c r="Q17" s="63">
        <f>COUNTIF('12.TT'!DB6:DB26,3)</f>
        <v>0</v>
      </c>
      <c r="R17" s="63">
        <f>COUNTIF('12.TT'!DB6:DB26,2)</f>
        <v>7</v>
      </c>
      <c r="S17" s="63">
        <f>COUNTIF('12.TT'!DB6:DB26,1)</f>
        <v>5</v>
      </c>
      <c r="T17" s="73"/>
    </row>
    <row r="18" spans="1:20" ht="15" x14ac:dyDescent="0.25">
      <c r="A18" s="64" t="s">
        <v>19</v>
      </c>
      <c r="B18" s="63">
        <f>VALUE('12.TT'!$DH$31)</f>
        <v>1</v>
      </c>
      <c r="C18" s="64"/>
      <c r="D18" s="64" t="s">
        <v>19</v>
      </c>
      <c r="E18" s="63">
        <f>VALUE('12.TT'!$DH$33)</f>
        <v>12</v>
      </c>
      <c r="F18" s="64"/>
      <c r="G18" s="64" t="s">
        <v>19</v>
      </c>
      <c r="H18" s="63">
        <f>VALUE('12.TT'!$DH$35)</f>
        <v>2</v>
      </c>
      <c r="I18" s="63"/>
      <c r="J18" s="64" t="s">
        <v>19</v>
      </c>
      <c r="K18" s="63">
        <f>VALUE('12.TT'!$DH$37)</f>
        <v>0</v>
      </c>
      <c r="M18" s="10" t="s">
        <v>19</v>
      </c>
      <c r="N18" s="11">
        <f>VALUE('12.TT'!DI39)+T18</f>
        <v>15</v>
      </c>
      <c r="O18" s="11">
        <f>VALUE('12.TT'!DF39)</f>
        <v>9</v>
      </c>
      <c r="P18" s="11">
        <f>VALUE('12.TT'!DG39)</f>
        <v>6</v>
      </c>
      <c r="Q18" s="63">
        <f>COUNTIF('12.TT'!DH6:DH26,3)</f>
        <v>1</v>
      </c>
      <c r="R18" s="63">
        <f>COUNTIF('12.TT'!DH6:DH26,2)</f>
        <v>3</v>
      </c>
      <c r="S18" s="63">
        <f>COUNTIF('12.TT'!DH6:DH26,1)</f>
        <v>6</v>
      </c>
      <c r="T18" s="73"/>
    </row>
    <row r="19" spans="1:20" ht="15" x14ac:dyDescent="0.25">
      <c r="A19" s="64" t="s">
        <v>26</v>
      </c>
      <c r="B19" s="63">
        <f>VALUE('12.TT'!$DN$31)</f>
        <v>1</v>
      </c>
      <c r="C19" s="64"/>
      <c r="D19" s="64" t="s">
        <v>26</v>
      </c>
      <c r="E19" s="63">
        <f>VALUE('12.TT'!$DN$33)</f>
        <v>9</v>
      </c>
      <c r="F19" s="64"/>
      <c r="G19" s="64" t="s">
        <v>26</v>
      </c>
      <c r="H19" s="63">
        <f>VALUE('12.TT'!$DN$35)</f>
        <v>7</v>
      </c>
      <c r="I19" s="63"/>
      <c r="J19" s="64" t="s">
        <v>26</v>
      </c>
      <c r="K19" s="63">
        <f>VALUE('12.TT'!$DN$37)</f>
        <v>0</v>
      </c>
      <c r="M19" s="10" t="s">
        <v>26</v>
      </c>
      <c r="N19" s="11">
        <f>VALUE('12.TT'!DO39)+T19</f>
        <v>17</v>
      </c>
      <c r="O19" s="11">
        <f>VALUE('12.TT'!DL39)</f>
        <v>10</v>
      </c>
      <c r="P19" s="11">
        <f>VALUE('12.TT'!DM39)</f>
        <v>7</v>
      </c>
      <c r="Q19" s="63">
        <f>COUNTIF('12.TT'!DN6:DN26,3)</f>
        <v>2</v>
      </c>
      <c r="R19" s="63">
        <f>COUNTIF('12.TT'!DN6:DN26,2)</f>
        <v>3</v>
      </c>
      <c r="S19" s="63">
        <f>COUNTIF('12.TT'!DN6:DN26,1)</f>
        <v>5</v>
      </c>
      <c r="T19" s="73"/>
    </row>
    <row r="20" spans="1:20" ht="15" x14ac:dyDescent="0.25">
      <c r="A20" s="64" t="s">
        <v>41</v>
      </c>
      <c r="B20" s="63">
        <f>VALUE('12.TT'!$DT$31)</f>
        <v>1</v>
      </c>
      <c r="C20" s="64"/>
      <c r="D20" s="64" t="s">
        <v>41</v>
      </c>
      <c r="E20" s="63">
        <f>VALUE('12.TT'!$DT$33)</f>
        <v>6</v>
      </c>
      <c r="F20" s="64"/>
      <c r="G20" s="64" t="s">
        <v>41</v>
      </c>
      <c r="H20" s="63">
        <f>VALUE('12.TT'!$DT$35)</f>
        <v>6</v>
      </c>
      <c r="I20" s="63"/>
      <c r="J20" s="64" t="s">
        <v>41</v>
      </c>
      <c r="K20" s="63">
        <f>VALUE('12.TT'!$DT$37)</f>
        <v>0</v>
      </c>
      <c r="M20" s="10" t="s">
        <v>41</v>
      </c>
      <c r="N20" s="11">
        <f>VALUE('12.TT'!DU39)+T20</f>
        <v>13</v>
      </c>
      <c r="O20" s="11">
        <f>VALUE('12.TT'!DR39)</f>
        <v>5</v>
      </c>
      <c r="P20" s="11">
        <f>VALUE('12.TT'!DS39)</f>
        <v>8</v>
      </c>
      <c r="Q20" s="63">
        <f>COUNTIF('12.TT'!DT6:DT26,3)</f>
        <v>0</v>
      </c>
      <c r="R20" s="63">
        <f>COUNTIF('12.TT'!DT6:DT26,2)</f>
        <v>4</v>
      </c>
      <c r="S20" s="63">
        <f>COUNTIF('12.TT'!DT6:DT26,1)</f>
        <v>5</v>
      </c>
      <c r="T20" s="73"/>
    </row>
    <row r="21" spans="1:20" ht="15" x14ac:dyDescent="0.25">
      <c r="A21" s="64" t="s">
        <v>54</v>
      </c>
      <c r="B21" s="63">
        <f>VALUE('12.TT'!$DZ$31)</f>
        <v>2</v>
      </c>
      <c r="C21" s="64"/>
      <c r="D21" s="64" t="s">
        <v>54</v>
      </c>
      <c r="E21" s="63">
        <f>VALUE('12.TT'!$DZ$33)</f>
        <v>9</v>
      </c>
      <c r="F21" s="64"/>
      <c r="G21" s="64" t="s">
        <v>54</v>
      </c>
      <c r="H21" s="63">
        <f>VALUE('12.TT'!$DZ$35)</f>
        <v>5</v>
      </c>
      <c r="I21" s="63"/>
      <c r="J21" s="64" t="s">
        <v>54</v>
      </c>
      <c r="K21" s="63">
        <f>VALUE('12.TT'!$DZ$37)</f>
        <v>0</v>
      </c>
      <c r="M21" s="10" t="s">
        <v>54</v>
      </c>
      <c r="N21" s="11">
        <f>VALUE('12.TT'!EA39)+T21</f>
        <v>16</v>
      </c>
      <c r="O21" s="11">
        <f>VALUE('12.TT'!DX39)</f>
        <v>6</v>
      </c>
      <c r="P21" s="11">
        <f>VALUE('12.TT'!DY39)</f>
        <v>10</v>
      </c>
      <c r="Q21" s="63">
        <f>COUNTIF('12.TT'!DZ6:DZ26,3)</f>
        <v>1</v>
      </c>
      <c r="R21" s="63">
        <f>COUNTIF('12.TT'!DZ6:DZ26,2)</f>
        <v>3</v>
      </c>
      <c r="S21" s="63">
        <f>COUNTIF('12.TT'!DZ6:DZ26,1)</f>
        <v>7</v>
      </c>
      <c r="T21" s="73"/>
    </row>
    <row r="22" spans="1:20" ht="15" x14ac:dyDescent="0.25">
      <c r="A22" s="64" t="s">
        <v>27</v>
      </c>
      <c r="B22" s="63">
        <f>VALUE('12.TT'!$EF$31)</f>
        <v>5</v>
      </c>
      <c r="C22" s="64"/>
      <c r="D22" s="64" t="s">
        <v>27</v>
      </c>
      <c r="E22" s="63">
        <f>VALUE('12.TT'!$EF$33)</f>
        <v>8</v>
      </c>
      <c r="F22" s="64"/>
      <c r="G22" s="64" t="s">
        <v>27</v>
      </c>
      <c r="H22" s="63">
        <f>VALUE('12.TT'!$EF$35)</f>
        <v>3</v>
      </c>
      <c r="I22" s="63"/>
      <c r="J22" s="64" t="s">
        <v>27</v>
      </c>
      <c r="K22" s="63">
        <f>VALUE('12.TT'!$EF$37)</f>
        <v>0</v>
      </c>
      <c r="M22" s="10" t="s">
        <v>27</v>
      </c>
      <c r="N22" s="11">
        <f>VALUE('12.TT'!EG39)+T22</f>
        <v>16</v>
      </c>
      <c r="O22" s="11">
        <f>VALUE('12.TT'!ED39)</f>
        <v>9</v>
      </c>
      <c r="P22" s="11">
        <f>VALUE('12.TT'!EE39)</f>
        <v>7</v>
      </c>
      <c r="Q22" s="63">
        <f>COUNTIF('12.TT'!EF6:EF26,3)</f>
        <v>1</v>
      </c>
      <c r="R22" s="63">
        <f>COUNTIF('12.TT'!EF6:EF26,2)</f>
        <v>4</v>
      </c>
      <c r="S22" s="63">
        <f>COUNTIF('12.TT'!EF6:EF26,1)</f>
        <v>5</v>
      </c>
      <c r="T22" s="73"/>
    </row>
    <row r="23" spans="1:20" ht="15" x14ac:dyDescent="0.25">
      <c r="A23" s="64" t="s">
        <v>18</v>
      </c>
      <c r="B23" s="63">
        <f>VALUE('12.TT'!$EL$31)</f>
        <v>1</v>
      </c>
      <c r="C23" s="64"/>
      <c r="D23" s="64" t="s">
        <v>18</v>
      </c>
      <c r="E23" s="63">
        <f>VALUE('12.TT'!$EL$33)</f>
        <v>12</v>
      </c>
      <c r="F23" s="64"/>
      <c r="G23" s="64" t="s">
        <v>18</v>
      </c>
      <c r="H23" s="63">
        <f>VALUE('12.TT'!$EL$35)</f>
        <v>8</v>
      </c>
      <c r="I23" s="63"/>
      <c r="J23" s="64" t="s">
        <v>18</v>
      </c>
      <c r="K23" s="63">
        <f>VALUE('12.TT'!$EL$37)</f>
        <v>0</v>
      </c>
      <c r="M23" s="10" t="s">
        <v>18</v>
      </c>
      <c r="N23" s="11">
        <f>VALUE('12.TT'!EM39)+T23</f>
        <v>21</v>
      </c>
      <c r="O23" s="11">
        <f>VALUE('12.TT'!EJ39)</f>
        <v>15</v>
      </c>
      <c r="P23" s="11">
        <f>VALUE('12.TT'!EK39)</f>
        <v>6</v>
      </c>
      <c r="Q23" s="63">
        <f>COUNTIF('12.TT'!EL6:EL26,3)</f>
        <v>3</v>
      </c>
      <c r="R23" s="63">
        <f>COUNTIF('12.TT'!EL6:EL26,2)</f>
        <v>3</v>
      </c>
      <c r="S23" s="63">
        <f>COUNTIF('12.TT'!EL6:EL26,1)</f>
        <v>6</v>
      </c>
      <c r="T23" s="73"/>
    </row>
    <row r="24" spans="1:20" ht="15" x14ac:dyDescent="0.25">
      <c r="A24" s="64" t="s">
        <v>67</v>
      </c>
      <c r="B24" s="63">
        <f>VALUE('12.TT'!$ER$31)</f>
        <v>3</v>
      </c>
      <c r="C24" s="64"/>
      <c r="D24" s="64" t="s">
        <v>67</v>
      </c>
      <c r="E24" s="63">
        <f>VALUE('12.TT'!$ER$33)</f>
        <v>7</v>
      </c>
      <c r="F24" s="64"/>
      <c r="G24" s="64" t="s">
        <v>67</v>
      </c>
      <c r="H24" s="63">
        <f>VALUE('12.TT'!$ER$35)</f>
        <v>5</v>
      </c>
      <c r="I24" s="63"/>
      <c r="J24" s="64" t="s">
        <v>67</v>
      </c>
      <c r="K24" s="63">
        <f>VALUE('12.TT'!$ER$37)</f>
        <v>0</v>
      </c>
      <c r="M24" s="10" t="s">
        <v>67</v>
      </c>
      <c r="N24" s="11">
        <f>VALUE('12.TT'!ES39)+T24</f>
        <v>15</v>
      </c>
      <c r="O24" s="11">
        <f>VALUE('12.TT'!EP39)</f>
        <v>9</v>
      </c>
      <c r="P24" s="11">
        <f>VALUE('12.TT'!EQ39)</f>
        <v>6</v>
      </c>
      <c r="Q24" s="63">
        <f>COUNTIF('12.TT'!ER6:ER26,3)</f>
        <v>1</v>
      </c>
      <c r="R24" s="63">
        <f>COUNTIF('12.TT'!ER6:ER26,2)</f>
        <v>4</v>
      </c>
      <c r="S24" s="63">
        <f>COUNTIF('12.TT'!ER6:ER26,1)</f>
        <v>4</v>
      </c>
      <c r="T24" s="73"/>
    </row>
    <row r="25" spans="1:20" ht="15" x14ac:dyDescent="0.25">
      <c r="A25" s="64" t="s">
        <v>49</v>
      </c>
      <c r="B25" s="63">
        <f>VALUE('12.TT'!$EX$31)</f>
        <v>2</v>
      </c>
      <c r="C25" s="64"/>
      <c r="D25" s="64" t="s">
        <v>49</v>
      </c>
      <c r="E25" s="63">
        <f>VALUE('12.TT'!$EX$33)</f>
        <v>7</v>
      </c>
      <c r="F25" s="64"/>
      <c r="G25" s="64" t="s">
        <v>49</v>
      </c>
      <c r="H25" s="63">
        <f>VALUE('12.TT'!$EX$35)</f>
        <v>7</v>
      </c>
      <c r="I25" s="63"/>
      <c r="J25" s="64" t="s">
        <v>49</v>
      </c>
      <c r="K25" s="63">
        <f>VALUE('12.TT'!$EX$37)</f>
        <v>0</v>
      </c>
      <c r="M25" s="10" t="s">
        <v>49</v>
      </c>
      <c r="N25" s="11">
        <f>VALUE('12.TT'!EY39)+T25</f>
        <v>16</v>
      </c>
      <c r="O25" s="11">
        <f>VALUE('12.TT'!EV39)</f>
        <v>9</v>
      </c>
      <c r="P25" s="11">
        <f>VALUE('12.TT'!EW39)</f>
        <v>7</v>
      </c>
      <c r="Q25" s="63">
        <f>COUNTIF('12.TT'!EX6:EX26,3)</f>
        <v>2</v>
      </c>
      <c r="R25" s="63">
        <f>COUNTIF('12.TT'!EX6:EX26,2)</f>
        <v>3</v>
      </c>
      <c r="S25" s="63">
        <f>COUNTIF('12.TT'!EX6:EX26,1)</f>
        <v>4</v>
      </c>
      <c r="T25" s="73"/>
    </row>
    <row r="26" spans="1:20" ht="15" x14ac:dyDescent="0.25">
      <c r="A26" s="64" t="s">
        <v>28</v>
      </c>
      <c r="B26" s="63">
        <f>VALUE('12.TT'!$FD$31)</f>
        <v>2</v>
      </c>
      <c r="C26" s="64"/>
      <c r="D26" s="64" t="s">
        <v>28</v>
      </c>
      <c r="E26" s="63">
        <f>VALUE('12.TT'!$FD$33)</f>
        <v>10</v>
      </c>
      <c r="F26" s="64"/>
      <c r="G26" s="64" t="s">
        <v>28</v>
      </c>
      <c r="H26" s="63">
        <f>VALUE('12.TT'!$FD$35)</f>
        <v>2</v>
      </c>
      <c r="I26" s="63"/>
      <c r="J26" s="64" t="s">
        <v>28</v>
      </c>
      <c r="K26" s="63">
        <f>VALUE('12.TT'!$FD$37)</f>
        <v>0</v>
      </c>
      <c r="M26" s="10" t="s">
        <v>28</v>
      </c>
      <c r="N26" s="11">
        <f>VALUE('12.TT'!FE39)+T26</f>
        <v>14</v>
      </c>
      <c r="O26" s="11">
        <f>VALUE('12.TT'!FB39)</f>
        <v>6</v>
      </c>
      <c r="P26" s="11">
        <f>VALUE('12.TT'!FC39)</f>
        <v>8</v>
      </c>
      <c r="Q26" s="63">
        <f>COUNTIF('12.TT'!FD6:FD26,3)</f>
        <v>1</v>
      </c>
      <c r="R26" s="63">
        <f>COUNTIF('12.TT'!FD6:FD26,2)</f>
        <v>3</v>
      </c>
      <c r="S26" s="63">
        <f>COUNTIF('12.TT'!FD6:FD26,1)</f>
        <v>5</v>
      </c>
      <c r="T26" s="73"/>
    </row>
    <row r="27" spans="1:20" ht="15" x14ac:dyDescent="0.25">
      <c r="A27" s="64" t="s">
        <v>60</v>
      </c>
      <c r="B27" s="63">
        <f>VALUE('12.TT'!$FJ$31)</f>
        <v>1</v>
      </c>
      <c r="C27" s="64"/>
      <c r="D27" s="64" t="s">
        <v>60</v>
      </c>
      <c r="E27" s="63">
        <f>VALUE('12.TT'!$FJ$33)</f>
        <v>6</v>
      </c>
      <c r="F27" s="64"/>
      <c r="G27" s="64" t="s">
        <v>60</v>
      </c>
      <c r="H27" s="63">
        <f>VALUE('12.TT'!$FJ$35)</f>
        <v>4</v>
      </c>
      <c r="I27" s="63"/>
      <c r="J27" s="64" t="s">
        <v>60</v>
      </c>
      <c r="K27" s="63">
        <f>VALUE('12.TT'!$FJ$37)</f>
        <v>0</v>
      </c>
      <c r="M27" s="10" t="s">
        <v>60</v>
      </c>
      <c r="N27" s="11">
        <f>VALUE('12.TT'!FK39)+T27</f>
        <v>11</v>
      </c>
      <c r="O27" s="11">
        <f>VALUE('12.TT'!FH39)</f>
        <v>6</v>
      </c>
      <c r="P27" s="11">
        <f>VALUE('12.TT'!FI39)</f>
        <v>5</v>
      </c>
      <c r="Q27" s="63">
        <f>COUNTIF('12.TT'!FJ6:FJ26,3)</f>
        <v>0</v>
      </c>
      <c r="R27" s="63">
        <f>COUNTIF('12.TT'!FJ6:FJ26,2)</f>
        <v>2</v>
      </c>
      <c r="S27" s="63">
        <f>COUNTIF('12.TT'!FJ6:FJ26,1)</f>
        <v>7</v>
      </c>
      <c r="T27" s="73"/>
    </row>
    <row r="28" spans="1:20" ht="15" x14ac:dyDescent="0.25">
      <c r="A28" s="64" t="s">
        <v>29</v>
      </c>
      <c r="B28" s="63">
        <f>VALUE('12.TT'!$FP$31)</f>
        <v>3</v>
      </c>
      <c r="C28" s="64"/>
      <c r="D28" s="64" t="s">
        <v>29</v>
      </c>
      <c r="E28" s="63">
        <f>VALUE('12.TT'!$FP$33)</f>
        <v>7</v>
      </c>
      <c r="F28" s="64"/>
      <c r="G28" s="64" t="s">
        <v>29</v>
      </c>
      <c r="H28" s="63">
        <f>VALUE('12.TT'!$FP$35)</f>
        <v>3</v>
      </c>
      <c r="I28" s="63"/>
      <c r="J28" s="64" t="s">
        <v>29</v>
      </c>
      <c r="K28" s="63">
        <f>VALUE('12.TT'!$FP$37)</f>
        <v>0</v>
      </c>
      <c r="M28" s="10" t="s">
        <v>29</v>
      </c>
      <c r="N28" s="11">
        <f>VALUE('12.TT'!FQ39)+T28</f>
        <v>13</v>
      </c>
      <c r="O28" s="11">
        <f>VALUE('12.TT'!FN39)</f>
        <v>6</v>
      </c>
      <c r="P28" s="11">
        <f>VALUE('12.TT'!FO39)</f>
        <v>7</v>
      </c>
      <c r="Q28" s="63">
        <f>COUNTIF('12.TT'!FP6:FP26,3)</f>
        <v>2</v>
      </c>
      <c r="R28" s="63">
        <f>COUNTIF('12.TT'!FP6:FP26,2)</f>
        <v>2</v>
      </c>
      <c r="S28" s="63">
        <f>COUNTIF('12.TT'!FP6:FP26,1)</f>
        <v>3</v>
      </c>
      <c r="T28" s="73"/>
    </row>
    <row r="29" spans="1:20" ht="15" x14ac:dyDescent="0.25">
      <c r="A29" s="64" t="s">
        <v>30</v>
      </c>
      <c r="B29" s="63">
        <f>VALUE('12.TT'!$FV$31)</f>
        <v>4</v>
      </c>
      <c r="C29" s="64"/>
      <c r="D29" s="64" t="s">
        <v>30</v>
      </c>
      <c r="E29" s="63">
        <f>VALUE('12.TT'!$FV$33)</f>
        <v>13</v>
      </c>
      <c r="F29" s="64"/>
      <c r="G29" s="64" t="s">
        <v>30</v>
      </c>
      <c r="H29" s="63">
        <f>VALUE('12.TT'!$FV$35)</f>
        <v>5</v>
      </c>
      <c r="I29" s="63"/>
      <c r="J29" s="64" t="s">
        <v>30</v>
      </c>
      <c r="K29" s="63">
        <f>VALUE('12.TT'!$FV$37)</f>
        <v>0</v>
      </c>
      <c r="M29" s="10" t="s">
        <v>30</v>
      </c>
      <c r="N29" s="11">
        <f>VALUE('12.TT'!FW39)+T29</f>
        <v>22</v>
      </c>
      <c r="O29" s="11">
        <f>VALUE('12.TT'!FT39)</f>
        <v>13</v>
      </c>
      <c r="P29" s="11">
        <f>VALUE('12.TT'!FU39)</f>
        <v>9</v>
      </c>
      <c r="Q29" s="63">
        <f>COUNTIF('12.TT'!FV6:FV26,3)</f>
        <v>3</v>
      </c>
      <c r="R29" s="63">
        <f>COUNTIF('12.TT'!FV6:FV26,2)</f>
        <v>4</v>
      </c>
      <c r="S29" s="63">
        <f>COUNTIF('12.TT'!FV6:FV26,1)</f>
        <v>5</v>
      </c>
      <c r="T29" s="73"/>
    </row>
    <row r="30" spans="1:20" ht="15" x14ac:dyDescent="0.25">
      <c r="A30" s="64" t="s">
        <v>31</v>
      </c>
      <c r="B30" s="63">
        <f>VALUE('12.TT'!$GB$31)</f>
        <v>2</v>
      </c>
      <c r="C30" s="64"/>
      <c r="D30" s="64" t="s">
        <v>31</v>
      </c>
      <c r="E30" s="63">
        <f>VALUE('12.TT'!$GB$33)</f>
        <v>6</v>
      </c>
      <c r="F30" s="64"/>
      <c r="G30" s="64" t="s">
        <v>31</v>
      </c>
      <c r="H30" s="63">
        <f>VALUE('12.TT'!$GB$35)</f>
        <v>3</v>
      </c>
      <c r="I30" s="63"/>
      <c r="J30" s="64" t="s">
        <v>31</v>
      </c>
      <c r="K30" s="63">
        <f>VALUE('12.TT'!$GB$37)</f>
        <v>0</v>
      </c>
      <c r="M30" s="10" t="s">
        <v>31</v>
      </c>
      <c r="N30" s="11">
        <f>VALUE('12.TT'!GC39)+T30</f>
        <v>11</v>
      </c>
      <c r="O30" s="11">
        <f>VALUE('12.TT'!FZ39)</f>
        <v>3</v>
      </c>
      <c r="P30" s="11">
        <f>VALUE('12.TT'!GA39)</f>
        <v>8</v>
      </c>
      <c r="Q30" s="63">
        <f>COUNTIF('12.TT'!GB6:GB26,3)</f>
        <v>1</v>
      </c>
      <c r="R30" s="63">
        <f>COUNTIF('12.TT'!GB6:GB26,2)</f>
        <v>1</v>
      </c>
      <c r="S30" s="63">
        <f>COUNTIF('12.TT'!GB6:GB26,1)</f>
        <v>6</v>
      </c>
      <c r="T30" s="73"/>
    </row>
    <row r="31" spans="1:20" ht="15" x14ac:dyDescent="0.25">
      <c r="A31" s="64" t="s">
        <v>55</v>
      </c>
      <c r="B31" s="63">
        <f>VALUE('12.TT'!$GH$31)</f>
        <v>0</v>
      </c>
      <c r="C31" s="64"/>
      <c r="D31" s="64" t="s">
        <v>55</v>
      </c>
      <c r="E31" s="63">
        <f>VALUE('12.TT'!$GH$33)</f>
        <v>7</v>
      </c>
      <c r="F31" s="64"/>
      <c r="G31" s="64" t="s">
        <v>55</v>
      </c>
      <c r="H31" s="63">
        <f>VALUE('12.TT'!$GH$35)</f>
        <v>4</v>
      </c>
      <c r="I31" s="63"/>
      <c r="J31" s="64" t="s">
        <v>55</v>
      </c>
      <c r="K31" s="63">
        <f>VALUE('12.TT'!$GH$37)</f>
        <v>0</v>
      </c>
      <c r="M31" s="10" t="s">
        <v>55</v>
      </c>
      <c r="N31" s="11">
        <f>VALUE('12.TT'!GI39)+T31</f>
        <v>11</v>
      </c>
      <c r="O31" s="11">
        <f>VALUE('12.TT'!GF39)</f>
        <v>3</v>
      </c>
      <c r="P31" s="11">
        <f>VALUE('12.TT'!GG39)</f>
        <v>8</v>
      </c>
      <c r="Q31" s="63">
        <f>COUNTIF('12.TT'!GH6:GH26,3)</f>
        <v>0</v>
      </c>
      <c r="R31" s="63">
        <f>COUNTIF('12.TT'!GH6:GH26,2)</f>
        <v>3</v>
      </c>
      <c r="S31" s="63">
        <f>COUNTIF('12.TT'!GH6:GH26,1)</f>
        <v>5</v>
      </c>
      <c r="T31" s="73"/>
    </row>
    <row r="32" spans="1:20" ht="15" x14ac:dyDescent="0.25">
      <c r="A32" s="64" t="s">
        <v>32</v>
      </c>
      <c r="B32" s="63">
        <f>VALUE('12.TT'!$GN$31)</f>
        <v>4</v>
      </c>
      <c r="C32" s="64"/>
      <c r="D32" s="64" t="s">
        <v>32</v>
      </c>
      <c r="E32" s="63">
        <f>VALUE('12.TT'!$GN$33)</f>
        <v>5</v>
      </c>
      <c r="F32" s="64"/>
      <c r="G32" s="64" t="s">
        <v>32</v>
      </c>
      <c r="H32" s="63">
        <f>VALUE('12.TT'!$GN$35)</f>
        <v>3</v>
      </c>
      <c r="I32" s="63"/>
      <c r="J32" s="64" t="s">
        <v>32</v>
      </c>
      <c r="K32" s="63">
        <f>VALUE('12.TT'!$GN$37)</f>
        <v>0</v>
      </c>
      <c r="M32" s="10" t="s">
        <v>32</v>
      </c>
      <c r="N32" s="11">
        <f>VALUE('12.TT'!GO39)+T32</f>
        <v>12</v>
      </c>
      <c r="O32" s="11">
        <f>VALUE('12.TT'!GL39)</f>
        <v>6</v>
      </c>
      <c r="P32" s="11">
        <f>VALUE('12.TT'!GM39)</f>
        <v>6</v>
      </c>
      <c r="Q32" s="63">
        <f>COUNTIF('12.TT'!GN6:GN26,3)</f>
        <v>1</v>
      </c>
      <c r="R32" s="63">
        <f>COUNTIF('12.TT'!GN6:GN26,2)</f>
        <v>2</v>
      </c>
      <c r="S32" s="63">
        <f>COUNTIF('12.TT'!GN6:GN26,1)</f>
        <v>5</v>
      </c>
      <c r="T32" s="73"/>
    </row>
    <row r="33" spans="1:20" ht="15" x14ac:dyDescent="0.25">
      <c r="A33" s="64" t="s">
        <v>15</v>
      </c>
      <c r="B33" s="63">
        <f>VALUE('12.TT'!$GT$31)</f>
        <v>3</v>
      </c>
      <c r="C33" s="64"/>
      <c r="D33" s="64" t="s">
        <v>15</v>
      </c>
      <c r="E33" s="63">
        <f>VALUE('12.TT'!$GT$33)</f>
        <v>13</v>
      </c>
      <c r="F33" s="64"/>
      <c r="G33" s="64" t="s">
        <v>15</v>
      </c>
      <c r="H33" s="63">
        <f>VALUE('12.TT'!$GT$35)</f>
        <v>4</v>
      </c>
      <c r="I33" s="63"/>
      <c r="J33" s="64" t="s">
        <v>15</v>
      </c>
      <c r="K33" s="63">
        <f>VALUE('12.TT'!$GT37)</f>
        <v>0</v>
      </c>
      <c r="M33" s="10" t="s">
        <v>15</v>
      </c>
      <c r="N33" s="11">
        <f>VALUE('12.TT'!GU39)+T33</f>
        <v>20</v>
      </c>
      <c r="O33" s="11">
        <f>VALUE('12.TT'!GR39)</f>
        <v>13</v>
      </c>
      <c r="P33" s="11">
        <f>VALUE('12.TT'!GS39)</f>
        <v>7</v>
      </c>
      <c r="Q33" s="63">
        <f>COUNTIF('12.TT'!GT6:GT26,3)</f>
        <v>3</v>
      </c>
      <c r="R33" s="63">
        <f>COUNTIF('12.TT'!GT6:GT26,2)</f>
        <v>4</v>
      </c>
      <c r="S33" s="63">
        <f>COUNTIF('12.TT'!GT6:GT26,1)</f>
        <v>3</v>
      </c>
      <c r="T33" s="73"/>
    </row>
    <row r="34" spans="1:20" x14ac:dyDescent="0.2">
      <c r="B34" s="8">
        <f>SUM(B2:B33)</f>
        <v>73</v>
      </c>
      <c r="E34" s="8">
        <f>SUM(E2:E33)</f>
        <v>287</v>
      </c>
      <c r="H34" s="8">
        <f>SUM(H2:H33)</f>
        <v>142</v>
      </c>
      <c r="J34" s="7"/>
      <c r="K34" s="8">
        <f>SUM(K2:K33)</f>
        <v>0</v>
      </c>
      <c r="N34" s="8">
        <f t="shared" ref="N34:S34" si="0">SUM(N2:N33)</f>
        <v>502</v>
      </c>
      <c r="O34" s="8">
        <f t="shared" si="0"/>
        <v>273</v>
      </c>
      <c r="P34" s="8">
        <f t="shared" si="0"/>
        <v>229</v>
      </c>
      <c r="Q34" s="8">
        <f t="shared" si="0"/>
        <v>46</v>
      </c>
      <c r="R34" s="8">
        <f t="shared" si="0"/>
        <v>100</v>
      </c>
      <c r="S34" s="8">
        <f t="shared" si="0"/>
        <v>164</v>
      </c>
    </row>
    <row r="35" spans="1:20" x14ac:dyDescent="0.2">
      <c r="B35" s="12">
        <f>(B34/32)</f>
        <v>2.28125</v>
      </c>
      <c r="E35" s="12">
        <f>(E34/32)</f>
        <v>8.96875</v>
      </c>
      <c r="H35" s="12">
        <f>(H34/32)</f>
        <v>4.4375</v>
      </c>
      <c r="J35" s="7"/>
      <c r="K35" s="12">
        <f>(K34/32)</f>
        <v>0</v>
      </c>
      <c r="N35" s="12">
        <f t="shared" ref="N35:S35" si="1">(N34/32)</f>
        <v>15.6875</v>
      </c>
      <c r="O35" s="12">
        <f t="shared" si="1"/>
        <v>8.53125</v>
      </c>
      <c r="P35" s="12">
        <f t="shared" si="1"/>
        <v>7.15625</v>
      </c>
      <c r="Q35" s="75">
        <f t="shared" si="1"/>
        <v>1.4375</v>
      </c>
      <c r="R35" s="75">
        <f t="shared" si="1"/>
        <v>3.125</v>
      </c>
      <c r="S35" s="75">
        <f t="shared" si="1"/>
        <v>5.125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CO1" activePane="topRight" state="frozen"/>
      <selection pane="topRight" activeCell="D35" sqref="D35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113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18" x14ac:dyDescent="0.25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90</v>
      </c>
      <c r="C5" s="46"/>
      <c r="D5" s="69" t="s">
        <v>114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110</v>
      </c>
      <c r="B6" s="77" t="s">
        <v>91</v>
      </c>
      <c r="C6" s="78" t="s">
        <v>3</v>
      </c>
      <c r="D6" s="79" t="s">
        <v>99</v>
      </c>
      <c r="E6" s="54">
        <v>6</v>
      </c>
      <c r="F6" s="55" t="s">
        <v>3</v>
      </c>
      <c r="G6" s="55">
        <v>2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0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5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27</v>
      </c>
      <c r="L6" s="5"/>
      <c r="M6" s="58">
        <v>4</v>
      </c>
      <c r="N6" s="58" t="s">
        <v>3</v>
      </c>
      <c r="O6" s="58">
        <v>0</v>
      </c>
      <c r="P6" s="17">
        <f>IF(ISBLANK($E6),"",(IF(ISBLANK(M6),0,IF((($E6=M6)*($G6=O6))*NOT(ISBLANK($E6)),1,0)+((($E6&gt;$G6)*(M6&gt;O6))+(($E6&lt;$G6)*(M6&lt;O6))+(($E6=$G6)*(M6=O6)))-ISBLANK($E6)*(M6=O6)+(($E6-$G6)=(M6-O6)))))</f>
        <v>2</v>
      </c>
      <c r="Q6" s="35"/>
      <c r="R6" s="5"/>
      <c r="S6" s="58">
        <v>3</v>
      </c>
      <c r="T6" s="58" t="s">
        <v>3</v>
      </c>
      <c r="U6" s="58">
        <v>0</v>
      </c>
      <c r="V6" s="17">
        <f>IF(ISBLANK($E6),"",(IF(ISBLANK(S6),0,IF((($E6=S6)*($G6=U6))*NOT(ISBLANK($E6)),1,0)+((($E6&gt;$G6)*(S6&gt;U6))+(($E6&lt;$G6)*(S6&lt;U6))+(($E6=$G6)*(S6=U6)))-ISBLANK($E6)*(S6=U6)+(($E6-$G6)=(S6-U6)))))</f>
        <v>1</v>
      </c>
      <c r="W6" s="37"/>
      <c r="X6" s="5"/>
      <c r="Y6" s="58">
        <v>4</v>
      </c>
      <c r="Z6" s="58" t="s">
        <v>3</v>
      </c>
      <c r="AA6" s="58">
        <v>1</v>
      </c>
      <c r="AB6" s="17">
        <f>IF(ISBLANK($E6),"",(IF(ISBLANK(Y6),0,IF((($E6=Y6)*($G6=AA6))*NOT(ISBLANK($E6)),1,0)+((($E6&gt;$G6)*(Y6&gt;AA6))+(($E6&lt;$G6)*(Y6&lt;AA6))+(($E6=$G6)*(Y6=AA6)))-ISBLANK($E6)*(Y6=AA6)+(($E6-$G6)=(Y6-AA6)))))</f>
        <v>1</v>
      </c>
      <c r="AC6" s="37"/>
      <c r="AD6" s="5"/>
      <c r="AE6" s="58">
        <v>4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1</v>
      </c>
      <c r="AI6" s="37"/>
      <c r="AJ6" s="5"/>
      <c r="AK6" s="58">
        <v>3</v>
      </c>
      <c r="AL6" s="58" t="s">
        <v>3</v>
      </c>
      <c r="AM6" s="58">
        <v>0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1</v>
      </c>
      <c r="AO6" s="37"/>
      <c r="AP6" s="5"/>
      <c r="AQ6" s="58">
        <v>4</v>
      </c>
      <c r="AR6" s="58" t="s">
        <v>3</v>
      </c>
      <c r="AS6" s="58">
        <v>0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2</v>
      </c>
      <c r="AU6" s="37"/>
      <c r="AV6" s="5"/>
      <c r="AW6" s="58">
        <v>3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1</v>
      </c>
      <c r="BA6" s="37"/>
      <c r="BB6" s="5"/>
      <c r="BC6" s="58">
        <v>3</v>
      </c>
      <c r="BD6" s="58" t="s">
        <v>3</v>
      </c>
      <c r="BE6" s="58">
        <v>1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1</v>
      </c>
      <c r="BG6" s="37"/>
      <c r="BH6" s="5"/>
      <c r="BI6" s="58">
        <v>3</v>
      </c>
      <c r="BJ6" s="58" t="s">
        <v>3</v>
      </c>
      <c r="BK6" s="58">
        <v>1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1</v>
      </c>
      <c r="BM6" s="37"/>
      <c r="BN6" s="5"/>
      <c r="BO6" s="58">
        <v>3</v>
      </c>
      <c r="BP6" s="58" t="s">
        <v>3</v>
      </c>
      <c r="BQ6" s="58">
        <v>0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1</v>
      </c>
      <c r="BS6" s="37"/>
      <c r="BT6" s="5"/>
      <c r="BU6" s="58">
        <v>3</v>
      </c>
      <c r="BV6" s="58" t="s">
        <v>3</v>
      </c>
      <c r="BW6" s="58">
        <v>0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1</v>
      </c>
      <c r="BY6" s="37"/>
      <c r="BZ6" s="5"/>
      <c r="CA6" s="58">
        <v>3</v>
      </c>
      <c r="CB6" s="58" t="s">
        <v>3</v>
      </c>
      <c r="CC6" s="58">
        <v>0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1</v>
      </c>
      <c r="CE6" s="37"/>
      <c r="CF6" s="5"/>
      <c r="CG6" s="58">
        <v>3</v>
      </c>
      <c r="CH6" s="58" t="s">
        <v>3</v>
      </c>
      <c r="CI6" s="58">
        <v>1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1</v>
      </c>
      <c r="CK6" s="37"/>
      <c r="CL6" s="5"/>
      <c r="CM6" s="58">
        <v>3</v>
      </c>
      <c r="CN6" s="58" t="s">
        <v>3</v>
      </c>
      <c r="CO6" s="58">
        <v>0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1</v>
      </c>
      <c r="CQ6" s="37"/>
      <c r="CR6" s="5"/>
      <c r="CS6" s="58">
        <v>3</v>
      </c>
      <c r="CT6" s="58" t="s">
        <v>3</v>
      </c>
      <c r="CU6" s="58">
        <v>0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1</v>
      </c>
      <c r="CW6" s="37"/>
      <c r="CX6" s="5"/>
      <c r="CY6" s="58">
        <v>3</v>
      </c>
      <c r="CZ6" s="58" t="s">
        <v>3</v>
      </c>
      <c r="DA6" s="58">
        <v>1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1</v>
      </c>
      <c r="DC6" s="37"/>
      <c r="DD6" s="5"/>
      <c r="DE6" s="58">
        <v>3</v>
      </c>
      <c r="DF6" s="58" t="s">
        <v>3</v>
      </c>
      <c r="DG6" s="58">
        <v>0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1</v>
      </c>
      <c r="DI6" s="37"/>
      <c r="DJ6" s="5"/>
      <c r="DK6" s="58">
        <v>3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1</v>
      </c>
      <c r="DO6" s="37"/>
      <c r="DP6" s="5"/>
      <c r="DQ6" s="58">
        <v>4</v>
      </c>
      <c r="DR6" s="58" t="s">
        <v>3</v>
      </c>
      <c r="DS6" s="58">
        <v>0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2</v>
      </c>
      <c r="DU6" s="37"/>
      <c r="DV6" s="5"/>
      <c r="DW6" s="58">
        <v>3</v>
      </c>
      <c r="DX6" s="58" t="s">
        <v>3</v>
      </c>
      <c r="DY6" s="58">
        <v>0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1</v>
      </c>
      <c r="EA6" s="37"/>
      <c r="EB6" s="5"/>
      <c r="EC6" s="58">
        <v>3</v>
      </c>
      <c r="ED6" s="58" t="s">
        <v>3</v>
      </c>
      <c r="EE6" s="58">
        <v>0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1</v>
      </c>
      <c r="EG6" s="37"/>
      <c r="EH6" s="5"/>
      <c r="EI6" s="58">
        <v>4</v>
      </c>
      <c r="EJ6" s="58" t="s">
        <v>3</v>
      </c>
      <c r="EK6" s="58">
        <v>1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1</v>
      </c>
      <c r="EM6" s="37"/>
      <c r="EN6" s="5"/>
      <c r="EO6" s="58">
        <v>3</v>
      </c>
      <c r="EP6" s="58" t="s">
        <v>3</v>
      </c>
      <c r="EQ6" s="58">
        <v>1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1</v>
      </c>
      <c r="ES6" s="37"/>
      <c r="ET6" s="5"/>
      <c r="EU6" s="58">
        <v>5</v>
      </c>
      <c r="EV6" s="58" t="s">
        <v>3</v>
      </c>
      <c r="EW6" s="58">
        <v>1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2</v>
      </c>
      <c r="EY6" s="37"/>
      <c r="EZ6" s="5"/>
      <c r="FA6" s="58">
        <v>3</v>
      </c>
      <c r="FB6" s="58" t="s">
        <v>3</v>
      </c>
      <c r="FC6" s="58">
        <v>0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1</v>
      </c>
      <c r="FE6" s="37"/>
      <c r="FF6" s="5"/>
      <c r="FG6" s="58">
        <v>3</v>
      </c>
      <c r="FH6" s="58" t="s">
        <v>3</v>
      </c>
      <c r="FI6" s="58">
        <v>1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1</v>
      </c>
      <c r="FK6" s="37"/>
      <c r="FL6" s="5"/>
      <c r="FM6" s="58">
        <v>2</v>
      </c>
      <c r="FN6" s="58" t="s">
        <v>3</v>
      </c>
      <c r="FO6" s="58">
        <v>0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1</v>
      </c>
      <c r="FQ6" s="37"/>
      <c r="FR6" s="5"/>
      <c r="FS6" s="58">
        <v>2</v>
      </c>
      <c r="FT6" s="58" t="s">
        <v>3</v>
      </c>
      <c r="FU6" s="58">
        <v>0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1</v>
      </c>
      <c r="FW6" s="37"/>
      <c r="FX6" s="5"/>
      <c r="FY6" s="58">
        <v>2</v>
      </c>
      <c r="FZ6" s="58" t="s">
        <v>3</v>
      </c>
      <c r="GA6" s="58">
        <v>1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1</v>
      </c>
      <c r="GC6" s="37"/>
      <c r="GD6" s="5"/>
      <c r="GE6" s="58">
        <v>2</v>
      </c>
      <c r="GF6" s="58" t="s">
        <v>3</v>
      </c>
      <c r="GG6" s="58">
        <v>1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1</v>
      </c>
      <c r="GI6" s="37"/>
      <c r="GJ6" s="5"/>
      <c r="GK6" s="58">
        <v>3</v>
      </c>
      <c r="GL6" s="58" t="s">
        <v>3</v>
      </c>
      <c r="GM6" s="58">
        <v>0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1</v>
      </c>
      <c r="GO6" s="37"/>
      <c r="GP6" s="5"/>
      <c r="GQ6" s="58">
        <v>4</v>
      </c>
      <c r="GR6" s="58" t="s">
        <v>3</v>
      </c>
      <c r="GS6" s="58">
        <v>0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2</v>
      </c>
      <c r="GU6" s="37"/>
      <c r="GV6" s="5"/>
    </row>
    <row r="7" spans="1:204" ht="18" x14ac:dyDescent="0.25">
      <c r="A7" s="62" t="s">
        <v>110</v>
      </c>
      <c r="B7" s="77" t="s">
        <v>104</v>
      </c>
      <c r="C7" s="78" t="s">
        <v>3</v>
      </c>
      <c r="D7" s="79" t="s">
        <v>95</v>
      </c>
      <c r="E7" s="54">
        <v>3</v>
      </c>
      <c r="F7" s="55" t="s">
        <v>3</v>
      </c>
      <c r="G7" s="55">
        <v>4</v>
      </c>
      <c r="I7" s="49">
        <f t="shared" si="0"/>
        <v>0</v>
      </c>
      <c r="J7" s="49">
        <f t="shared" si="1"/>
        <v>12</v>
      </c>
      <c r="K7" s="49">
        <f t="shared" si="2"/>
        <v>0</v>
      </c>
      <c r="L7" s="5"/>
      <c r="M7" s="58">
        <v>1</v>
      </c>
      <c r="N7" s="58" t="s">
        <v>3</v>
      </c>
      <c r="O7" s="58">
        <v>1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0</v>
      </c>
      <c r="Q7" s="35"/>
      <c r="R7" s="5"/>
      <c r="S7" s="58">
        <v>1</v>
      </c>
      <c r="T7" s="58" t="s">
        <v>3</v>
      </c>
      <c r="U7" s="58">
        <v>2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2</v>
      </c>
      <c r="W7" s="37"/>
      <c r="X7" s="5"/>
      <c r="Y7" s="58">
        <v>1</v>
      </c>
      <c r="Z7" s="58" t="s">
        <v>3</v>
      </c>
      <c r="AA7" s="58">
        <v>2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2</v>
      </c>
      <c r="AC7" s="37"/>
      <c r="AD7" s="5"/>
      <c r="AE7" s="58">
        <v>1</v>
      </c>
      <c r="AF7" s="58" t="s">
        <v>3</v>
      </c>
      <c r="AG7" s="58">
        <v>0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1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2</v>
      </c>
      <c r="AR7" s="58" t="s">
        <v>3</v>
      </c>
      <c r="AS7" s="58">
        <v>1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0</v>
      </c>
      <c r="AU7" s="37"/>
      <c r="AV7" s="5"/>
      <c r="AW7" s="58">
        <v>1</v>
      </c>
      <c r="AX7" s="58" t="s">
        <v>3</v>
      </c>
      <c r="AY7" s="58">
        <v>1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0</v>
      </c>
      <c r="BA7" s="37"/>
      <c r="BB7" s="5"/>
      <c r="BC7" s="58">
        <v>2</v>
      </c>
      <c r="BD7" s="58" t="s">
        <v>3</v>
      </c>
      <c r="BE7" s="58">
        <v>2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0</v>
      </c>
      <c r="BG7" s="37"/>
      <c r="BH7" s="5"/>
      <c r="BI7" s="58">
        <v>1</v>
      </c>
      <c r="BJ7" s="58" t="s">
        <v>3</v>
      </c>
      <c r="BK7" s="58">
        <v>2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2</v>
      </c>
      <c r="BM7" s="37"/>
      <c r="BN7" s="5"/>
      <c r="BO7" s="58">
        <v>1</v>
      </c>
      <c r="BP7" s="58" t="s">
        <v>3</v>
      </c>
      <c r="BQ7" s="58">
        <v>1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0</v>
      </c>
      <c r="BS7" s="37"/>
      <c r="BT7" s="5"/>
      <c r="BU7" s="58">
        <v>2</v>
      </c>
      <c r="BV7" s="58" t="s">
        <v>3</v>
      </c>
      <c r="BW7" s="58">
        <v>1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1</v>
      </c>
      <c r="CB7" s="58" t="s">
        <v>3</v>
      </c>
      <c r="CC7" s="58">
        <v>1</v>
      </c>
      <c r="CD7" s="17">
        <f t="shared" si="3"/>
        <v>0</v>
      </c>
      <c r="CE7" s="37"/>
      <c r="CF7" s="5"/>
      <c r="CG7" s="58">
        <v>1</v>
      </c>
      <c r="CH7" s="58" t="s">
        <v>3</v>
      </c>
      <c r="CI7" s="58">
        <v>1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0</v>
      </c>
      <c r="CK7" s="37"/>
      <c r="CL7" s="5"/>
      <c r="CM7" s="58">
        <v>1</v>
      </c>
      <c r="CN7" s="58" t="s">
        <v>3</v>
      </c>
      <c r="CO7" s="58">
        <v>2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2</v>
      </c>
      <c r="CQ7" s="37"/>
      <c r="CR7" s="5"/>
      <c r="CS7" s="58">
        <v>1</v>
      </c>
      <c r="CT7" s="58" t="s">
        <v>3</v>
      </c>
      <c r="CU7" s="58">
        <v>2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2</v>
      </c>
      <c r="CW7" s="37"/>
      <c r="CX7" s="5"/>
      <c r="CY7" s="58">
        <v>2</v>
      </c>
      <c r="CZ7" s="58" t="s">
        <v>3</v>
      </c>
      <c r="DA7" s="58">
        <v>3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2</v>
      </c>
      <c r="DC7" s="37"/>
      <c r="DD7" s="5"/>
      <c r="DE7" s="58">
        <v>1</v>
      </c>
      <c r="DF7" s="58" t="s">
        <v>3</v>
      </c>
      <c r="DG7" s="58">
        <v>2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2</v>
      </c>
      <c r="DI7" s="37"/>
      <c r="DJ7" s="5"/>
      <c r="DK7" s="58">
        <v>1</v>
      </c>
      <c r="DL7" s="58" t="s">
        <v>3</v>
      </c>
      <c r="DM7" s="58">
        <v>1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1</v>
      </c>
      <c r="DR7" s="58" t="s">
        <v>3</v>
      </c>
      <c r="DS7" s="58">
        <v>1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0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0</v>
      </c>
      <c r="EA7" s="37"/>
      <c r="EB7" s="5"/>
      <c r="EC7" s="58">
        <v>0</v>
      </c>
      <c r="ED7" s="58" t="s">
        <v>3</v>
      </c>
      <c r="EE7" s="58">
        <v>1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2</v>
      </c>
      <c r="EG7" s="37"/>
      <c r="EH7" s="5"/>
      <c r="EI7" s="58">
        <v>1</v>
      </c>
      <c r="EJ7" s="58" t="s">
        <v>3</v>
      </c>
      <c r="EK7" s="58">
        <v>2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2</v>
      </c>
      <c r="EM7" s="37"/>
      <c r="EN7" s="5"/>
      <c r="EO7" s="58">
        <v>1</v>
      </c>
      <c r="EP7" s="58" t="s">
        <v>3</v>
      </c>
      <c r="EQ7" s="58">
        <v>2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2</v>
      </c>
      <c r="ES7" s="37"/>
      <c r="ET7" s="5"/>
      <c r="EU7" s="58">
        <v>3</v>
      </c>
      <c r="EV7" s="58" t="s">
        <v>3</v>
      </c>
      <c r="EW7" s="58">
        <v>2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0</v>
      </c>
      <c r="EY7" s="37"/>
      <c r="EZ7" s="5"/>
      <c r="FA7" s="58">
        <v>2</v>
      </c>
      <c r="FB7" s="58" t="s">
        <v>3</v>
      </c>
      <c r="FC7" s="58">
        <v>1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0</v>
      </c>
      <c r="FE7" s="37"/>
      <c r="FF7" s="5"/>
      <c r="FG7" s="58">
        <v>1</v>
      </c>
      <c r="FH7" s="58" t="s">
        <v>3</v>
      </c>
      <c r="FI7" s="58">
        <v>2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2</v>
      </c>
      <c r="FK7" s="37"/>
      <c r="FL7" s="5"/>
      <c r="FM7" s="58">
        <v>2</v>
      </c>
      <c r="FN7" s="58" t="s">
        <v>3</v>
      </c>
      <c r="FO7" s="58">
        <v>2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0</v>
      </c>
      <c r="FQ7" s="37"/>
      <c r="FR7" s="5"/>
      <c r="FS7" s="58">
        <v>1</v>
      </c>
      <c r="FT7" s="58" t="s">
        <v>3</v>
      </c>
      <c r="FU7" s="58">
        <v>2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2</v>
      </c>
      <c r="FW7" s="37"/>
      <c r="FX7" s="5"/>
      <c r="FY7" s="58">
        <v>2</v>
      </c>
      <c r="FZ7" s="58" t="s">
        <v>3</v>
      </c>
      <c r="GA7" s="58">
        <v>2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0</v>
      </c>
      <c r="GC7" s="37"/>
      <c r="GD7" s="5"/>
      <c r="GE7" s="58">
        <v>1</v>
      </c>
      <c r="GF7" s="58" t="s">
        <v>3</v>
      </c>
      <c r="GG7" s="58">
        <v>1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0</v>
      </c>
      <c r="GI7" s="37"/>
      <c r="GJ7" s="5"/>
      <c r="GK7" s="58">
        <v>2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0</v>
      </c>
      <c r="GO7" s="37"/>
      <c r="GP7" s="5"/>
      <c r="GQ7" s="58">
        <v>2</v>
      </c>
      <c r="GR7" s="58" t="s">
        <v>3</v>
      </c>
      <c r="GS7" s="58">
        <v>2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0</v>
      </c>
      <c r="GU7" s="37"/>
      <c r="GV7" s="5"/>
    </row>
    <row r="8" spans="1:204" ht="18" x14ac:dyDescent="0.25">
      <c r="A8" s="62" t="s">
        <v>110</v>
      </c>
      <c r="B8" s="77" t="s">
        <v>102</v>
      </c>
      <c r="C8" s="78" t="s">
        <v>3</v>
      </c>
      <c r="D8" s="79" t="s">
        <v>106</v>
      </c>
      <c r="E8" s="54">
        <v>3</v>
      </c>
      <c r="F8" s="55" t="s">
        <v>3</v>
      </c>
      <c r="G8" s="55">
        <v>3</v>
      </c>
      <c r="I8" s="49">
        <f t="shared" si="0"/>
        <v>0</v>
      </c>
      <c r="J8" s="49">
        <f t="shared" si="1"/>
        <v>4</v>
      </c>
      <c r="K8" s="49">
        <f t="shared" si="2"/>
        <v>0</v>
      </c>
      <c r="L8" s="5"/>
      <c r="M8" s="58">
        <v>1</v>
      </c>
      <c r="N8" s="58" t="s">
        <v>3</v>
      </c>
      <c r="O8" s="58">
        <v>0</v>
      </c>
      <c r="P8" s="17">
        <f t="shared" si="4"/>
        <v>0</v>
      </c>
      <c r="Q8" s="35"/>
      <c r="R8" s="5"/>
      <c r="S8" s="58">
        <v>2</v>
      </c>
      <c r="T8" s="58" t="s">
        <v>3</v>
      </c>
      <c r="U8" s="58">
        <v>1</v>
      </c>
      <c r="V8" s="17">
        <f t="shared" si="5"/>
        <v>0</v>
      </c>
      <c r="W8" s="37"/>
      <c r="X8" s="5"/>
      <c r="Y8" s="58">
        <v>3</v>
      </c>
      <c r="Z8" s="58" t="s">
        <v>3</v>
      </c>
      <c r="AA8" s="58">
        <v>2</v>
      </c>
      <c r="AB8" s="17">
        <f t="shared" si="6"/>
        <v>0</v>
      </c>
      <c r="AC8" s="37"/>
      <c r="AD8" s="5"/>
      <c r="AE8" s="58">
        <v>2</v>
      </c>
      <c r="AF8" s="58" t="s">
        <v>3</v>
      </c>
      <c r="AG8" s="58">
        <v>1</v>
      </c>
      <c r="AH8" s="17">
        <f t="shared" si="7"/>
        <v>0</v>
      </c>
      <c r="AI8" s="37"/>
      <c r="AJ8" s="5"/>
      <c r="AK8" s="58">
        <v>2</v>
      </c>
      <c r="AL8" s="58" t="s">
        <v>3</v>
      </c>
      <c r="AM8" s="58">
        <v>1</v>
      </c>
      <c r="AN8" s="17">
        <f t="shared" si="8"/>
        <v>0</v>
      </c>
      <c r="AO8" s="37"/>
      <c r="AP8" s="5"/>
      <c r="AQ8" s="58">
        <v>2</v>
      </c>
      <c r="AR8" s="58" t="s">
        <v>3</v>
      </c>
      <c r="AS8" s="58">
        <v>0</v>
      </c>
      <c r="AT8" s="17">
        <f t="shared" si="9"/>
        <v>0</v>
      </c>
      <c r="AU8" s="37"/>
      <c r="AV8" s="5"/>
      <c r="AW8" s="58">
        <v>2</v>
      </c>
      <c r="AX8" s="58" t="s">
        <v>3</v>
      </c>
      <c r="AY8" s="58">
        <v>1</v>
      </c>
      <c r="AZ8" s="17">
        <f t="shared" si="10"/>
        <v>0</v>
      </c>
      <c r="BA8" s="37"/>
      <c r="BB8" s="5"/>
      <c r="BC8" s="58">
        <v>2</v>
      </c>
      <c r="BD8" s="58" t="s">
        <v>3</v>
      </c>
      <c r="BE8" s="58">
        <v>1</v>
      </c>
      <c r="BF8" s="17">
        <f t="shared" si="11"/>
        <v>0</v>
      </c>
      <c r="BG8" s="37"/>
      <c r="BH8" s="5"/>
      <c r="BI8" s="58">
        <v>1</v>
      </c>
      <c r="BJ8" s="58" t="s">
        <v>3</v>
      </c>
      <c r="BK8" s="58">
        <v>1</v>
      </c>
      <c r="BL8" s="17">
        <f t="shared" si="12"/>
        <v>2</v>
      </c>
      <c r="BM8" s="37"/>
      <c r="BN8" s="5"/>
      <c r="BO8" s="58">
        <v>2</v>
      </c>
      <c r="BP8" s="58" t="s">
        <v>3</v>
      </c>
      <c r="BQ8" s="58">
        <v>1</v>
      </c>
      <c r="BR8" s="17">
        <f t="shared" si="13"/>
        <v>0</v>
      </c>
      <c r="BS8" s="37"/>
      <c r="BT8" s="5"/>
      <c r="BU8" s="58">
        <v>2</v>
      </c>
      <c r="BV8" s="58" t="s">
        <v>3</v>
      </c>
      <c r="BW8" s="58">
        <v>2</v>
      </c>
      <c r="BX8" s="17">
        <f t="shared" si="14"/>
        <v>2</v>
      </c>
      <c r="BY8" s="37"/>
      <c r="BZ8" s="5"/>
      <c r="CA8" s="58">
        <v>2</v>
      </c>
      <c r="CB8" s="58" t="s">
        <v>3</v>
      </c>
      <c r="CC8" s="58">
        <v>1</v>
      </c>
      <c r="CD8" s="17">
        <f t="shared" si="3"/>
        <v>0</v>
      </c>
      <c r="CE8" s="37"/>
      <c r="CF8" s="5"/>
      <c r="CG8" s="58">
        <v>2</v>
      </c>
      <c r="CH8" s="58" t="s">
        <v>3</v>
      </c>
      <c r="CI8" s="58">
        <v>1</v>
      </c>
      <c r="CJ8" s="17">
        <f t="shared" si="15"/>
        <v>0</v>
      </c>
      <c r="CK8" s="37"/>
      <c r="CL8" s="5"/>
      <c r="CM8" s="58">
        <v>2</v>
      </c>
      <c r="CN8" s="58" t="s">
        <v>3</v>
      </c>
      <c r="CO8" s="58">
        <v>1</v>
      </c>
      <c r="CP8" s="17">
        <f t="shared" si="16"/>
        <v>0</v>
      </c>
      <c r="CQ8" s="37"/>
      <c r="CR8" s="5"/>
      <c r="CS8" s="58">
        <v>2</v>
      </c>
      <c r="CT8" s="58" t="s">
        <v>3</v>
      </c>
      <c r="CU8" s="58">
        <v>2</v>
      </c>
      <c r="CV8" s="17">
        <f t="shared" si="17"/>
        <v>2</v>
      </c>
      <c r="CW8" s="37"/>
      <c r="CX8" s="5"/>
      <c r="CY8" s="58">
        <v>2</v>
      </c>
      <c r="CZ8" s="58" t="s">
        <v>3</v>
      </c>
      <c r="DA8" s="58">
        <v>1</v>
      </c>
      <c r="DB8" s="17">
        <f t="shared" si="18"/>
        <v>0</v>
      </c>
      <c r="DC8" s="37"/>
      <c r="DD8" s="5"/>
      <c r="DE8" s="58">
        <v>2</v>
      </c>
      <c r="DF8" s="58" t="s">
        <v>3</v>
      </c>
      <c r="DG8" s="58">
        <v>1</v>
      </c>
      <c r="DH8" s="17">
        <f t="shared" si="19"/>
        <v>0</v>
      </c>
      <c r="DI8" s="37"/>
      <c r="DJ8" s="5"/>
      <c r="DK8" s="58">
        <v>2</v>
      </c>
      <c r="DL8" s="58" t="s">
        <v>3</v>
      </c>
      <c r="DM8" s="58">
        <v>1</v>
      </c>
      <c r="DN8" s="17">
        <f t="shared" si="20"/>
        <v>0</v>
      </c>
      <c r="DO8" s="37"/>
      <c r="DP8" s="5"/>
      <c r="DQ8" s="58">
        <v>2</v>
      </c>
      <c r="DR8" s="58" t="s">
        <v>3</v>
      </c>
      <c r="DS8" s="58">
        <v>1</v>
      </c>
      <c r="DT8" s="17">
        <f t="shared" si="21"/>
        <v>0</v>
      </c>
      <c r="DU8" s="37"/>
      <c r="DV8" s="5"/>
      <c r="DW8" s="58">
        <v>2</v>
      </c>
      <c r="DX8" s="58" t="s">
        <v>3</v>
      </c>
      <c r="DY8" s="58">
        <v>0</v>
      </c>
      <c r="DZ8" s="17">
        <f t="shared" si="22"/>
        <v>0</v>
      </c>
      <c r="EA8" s="37"/>
      <c r="EB8" s="5"/>
      <c r="EC8" s="58">
        <v>2</v>
      </c>
      <c r="ED8" s="58" t="s">
        <v>3</v>
      </c>
      <c r="EE8" s="58">
        <v>1</v>
      </c>
      <c r="EF8" s="17">
        <f t="shared" si="23"/>
        <v>0</v>
      </c>
      <c r="EG8" s="37"/>
      <c r="EH8" s="5"/>
      <c r="EI8" s="58">
        <v>3</v>
      </c>
      <c r="EJ8" s="58" t="s">
        <v>3</v>
      </c>
      <c r="EK8" s="58">
        <v>1</v>
      </c>
      <c r="EL8" s="17">
        <f t="shared" si="24"/>
        <v>0</v>
      </c>
      <c r="EM8" s="37"/>
      <c r="EN8" s="5"/>
      <c r="EO8" s="58">
        <v>2</v>
      </c>
      <c r="EP8" s="58" t="s">
        <v>3</v>
      </c>
      <c r="EQ8" s="58">
        <v>1</v>
      </c>
      <c r="ER8" s="17">
        <f t="shared" si="25"/>
        <v>0</v>
      </c>
      <c r="ES8" s="37"/>
      <c r="ET8" s="5"/>
      <c r="EU8" s="58">
        <v>2</v>
      </c>
      <c r="EV8" s="58" t="s">
        <v>3</v>
      </c>
      <c r="EW8" s="58">
        <v>4</v>
      </c>
      <c r="EX8" s="17">
        <f t="shared" si="26"/>
        <v>0</v>
      </c>
      <c r="EY8" s="37"/>
      <c r="EZ8" s="5"/>
      <c r="FA8" s="58">
        <v>2</v>
      </c>
      <c r="FB8" s="58" t="s">
        <v>3</v>
      </c>
      <c r="FC8" s="58">
        <v>2</v>
      </c>
      <c r="FD8" s="17">
        <f t="shared" si="27"/>
        <v>2</v>
      </c>
      <c r="FE8" s="37"/>
      <c r="FF8" s="5"/>
      <c r="FG8" s="58">
        <v>3</v>
      </c>
      <c r="FH8" s="58" t="s">
        <v>3</v>
      </c>
      <c r="FI8" s="58">
        <v>0</v>
      </c>
      <c r="FJ8" s="17">
        <f t="shared" si="28"/>
        <v>0</v>
      </c>
      <c r="FK8" s="37"/>
      <c r="FL8" s="5"/>
      <c r="FM8" s="58">
        <v>2</v>
      </c>
      <c r="FN8" s="58" t="s">
        <v>3</v>
      </c>
      <c r="FO8" s="58">
        <v>1</v>
      </c>
      <c r="FP8" s="17">
        <f t="shared" si="29"/>
        <v>0</v>
      </c>
      <c r="FQ8" s="37"/>
      <c r="FR8" s="5"/>
      <c r="FS8" s="58">
        <v>2</v>
      </c>
      <c r="FT8" s="58" t="s">
        <v>3</v>
      </c>
      <c r="FU8" s="58">
        <v>1</v>
      </c>
      <c r="FV8" s="17">
        <f t="shared" si="30"/>
        <v>0</v>
      </c>
      <c r="FW8" s="37"/>
      <c r="FX8" s="5"/>
      <c r="FY8" s="58">
        <v>2</v>
      </c>
      <c r="FZ8" s="58" t="s">
        <v>3</v>
      </c>
      <c r="GA8" s="58">
        <v>3</v>
      </c>
      <c r="GB8" s="17">
        <f t="shared" si="31"/>
        <v>0</v>
      </c>
      <c r="GC8" s="37"/>
      <c r="GD8" s="5"/>
      <c r="GE8" s="58">
        <v>1</v>
      </c>
      <c r="GF8" s="58" t="s">
        <v>3</v>
      </c>
      <c r="GG8" s="58">
        <v>2</v>
      </c>
      <c r="GH8" s="17">
        <f t="shared" si="32"/>
        <v>0</v>
      </c>
      <c r="GI8" s="37"/>
      <c r="GJ8" s="5"/>
      <c r="GK8" s="58">
        <v>2</v>
      </c>
      <c r="GL8" s="58" t="s">
        <v>3</v>
      </c>
      <c r="GM8" s="58">
        <v>1</v>
      </c>
      <c r="GN8" s="17">
        <f t="shared" si="33"/>
        <v>0</v>
      </c>
      <c r="GO8" s="37"/>
      <c r="GP8" s="5"/>
      <c r="GQ8" s="58">
        <v>2</v>
      </c>
      <c r="GR8" s="58" t="s">
        <v>3</v>
      </c>
      <c r="GS8" s="58">
        <v>1</v>
      </c>
      <c r="GT8" s="17">
        <f t="shared" si="34"/>
        <v>0</v>
      </c>
      <c r="GU8" s="37"/>
      <c r="GV8" s="5"/>
    </row>
    <row r="9" spans="1:204" ht="18" x14ac:dyDescent="0.25">
      <c r="A9" s="62" t="s">
        <v>110</v>
      </c>
      <c r="B9" s="77" t="s">
        <v>108</v>
      </c>
      <c r="C9" s="78" t="s">
        <v>3</v>
      </c>
      <c r="D9" s="79" t="s">
        <v>97</v>
      </c>
      <c r="E9" s="54">
        <v>1</v>
      </c>
      <c r="F9" s="55" t="s">
        <v>3</v>
      </c>
      <c r="G9" s="55">
        <v>3</v>
      </c>
      <c r="I9" s="49">
        <f t="shared" si="0"/>
        <v>5</v>
      </c>
      <c r="J9" s="49">
        <f t="shared" si="1"/>
        <v>2</v>
      </c>
      <c r="K9" s="49">
        <f t="shared" si="2"/>
        <v>18</v>
      </c>
      <c r="L9" s="5"/>
      <c r="M9" s="58">
        <v>1</v>
      </c>
      <c r="N9" s="58" t="s">
        <v>3</v>
      </c>
      <c r="O9" s="58">
        <v>2</v>
      </c>
      <c r="P9" s="17">
        <f t="shared" si="4"/>
        <v>1</v>
      </c>
      <c r="Q9" s="35"/>
      <c r="R9" s="5"/>
      <c r="S9" s="58">
        <v>1</v>
      </c>
      <c r="T9" s="58" t="s">
        <v>3</v>
      </c>
      <c r="U9" s="58">
        <v>3</v>
      </c>
      <c r="V9" s="17">
        <f t="shared" si="5"/>
        <v>3</v>
      </c>
      <c r="W9" s="37"/>
      <c r="X9" s="5"/>
      <c r="Y9" s="58">
        <v>2</v>
      </c>
      <c r="Z9" s="58" t="s">
        <v>3</v>
      </c>
      <c r="AA9" s="58">
        <v>2</v>
      </c>
      <c r="AB9" s="17">
        <f t="shared" si="6"/>
        <v>0</v>
      </c>
      <c r="AC9" s="37"/>
      <c r="AD9" s="5"/>
      <c r="AE9" s="58">
        <v>1</v>
      </c>
      <c r="AF9" s="58" t="s">
        <v>3</v>
      </c>
      <c r="AG9" s="58">
        <v>2</v>
      </c>
      <c r="AH9" s="17">
        <f t="shared" si="7"/>
        <v>1</v>
      </c>
      <c r="AI9" s="37"/>
      <c r="AJ9" s="5"/>
      <c r="AK9" s="58">
        <v>1</v>
      </c>
      <c r="AL9" s="58" t="s">
        <v>3</v>
      </c>
      <c r="AM9" s="58">
        <v>1</v>
      </c>
      <c r="AN9" s="17">
        <f t="shared" si="8"/>
        <v>0</v>
      </c>
      <c r="AO9" s="37"/>
      <c r="AP9" s="5"/>
      <c r="AQ9" s="58">
        <v>1</v>
      </c>
      <c r="AR9" s="58" t="s">
        <v>3</v>
      </c>
      <c r="AS9" s="58">
        <v>2</v>
      </c>
      <c r="AT9" s="17">
        <f t="shared" si="9"/>
        <v>1</v>
      </c>
      <c r="AU9" s="37"/>
      <c r="AV9" s="5"/>
      <c r="AW9" s="58">
        <v>2</v>
      </c>
      <c r="AX9" s="58" t="s">
        <v>3</v>
      </c>
      <c r="AY9" s="58">
        <v>1</v>
      </c>
      <c r="AZ9" s="17">
        <f t="shared" si="10"/>
        <v>0</v>
      </c>
      <c r="BA9" s="37"/>
      <c r="BB9" s="5"/>
      <c r="BC9" s="58">
        <v>1</v>
      </c>
      <c r="BD9" s="58" t="s">
        <v>3</v>
      </c>
      <c r="BE9" s="58">
        <v>2</v>
      </c>
      <c r="BF9" s="17">
        <f t="shared" si="11"/>
        <v>1</v>
      </c>
      <c r="BG9" s="37"/>
      <c r="BH9" s="5"/>
      <c r="BI9" s="58">
        <v>1</v>
      </c>
      <c r="BJ9" s="58" t="s">
        <v>3</v>
      </c>
      <c r="BK9" s="58">
        <v>2</v>
      </c>
      <c r="BL9" s="17">
        <f t="shared" si="12"/>
        <v>1</v>
      </c>
      <c r="BM9" s="37"/>
      <c r="BN9" s="5"/>
      <c r="BO9" s="58">
        <v>2</v>
      </c>
      <c r="BP9" s="58" t="s">
        <v>3</v>
      </c>
      <c r="BQ9" s="58">
        <v>1</v>
      </c>
      <c r="BR9" s="17">
        <f t="shared" si="13"/>
        <v>0</v>
      </c>
      <c r="BS9" s="37"/>
      <c r="BT9" s="5"/>
      <c r="BU9" s="58">
        <v>0</v>
      </c>
      <c r="BV9" s="58" t="s">
        <v>3</v>
      </c>
      <c r="BW9" s="58">
        <v>2</v>
      </c>
      <c r="BX9" s="17">
        <f t="shared" si="14"/>
        <v>2</v>
      </c>
      <c r="BY9" s="37"/>
      <c r="BZ9" s="5"/>
      <c r="CA9" s="58">
        <v>1</v>
      </c>
      <c r="CB9" s="58" t="s">
        <v>3</v>
      </c>
      <c r="CC9" s="58">
        <v>2</v>
      </c>
      <c r="CD9" s="17">
        <f t="shared" si="3"/>
        <v>1</v>
      </c>
      <c r="CE9" s="37"/>
      <c r="CF9" s="5"/>
      <c r="CG9" s="58">
        <v>0</v>
      </c>
      <c r="CH9" s="58" t="s">
        <v>3</v>
      </c>
      <c r="CI9" s="58">
        <v>2</v>
      </c>
      <c r="CJ9" s="17">
        <f t="shared" si="15"/>
        <v>2</v>
      </c>
      <c r="CK9" s="37"/>
      <c r="CL9" s="5"/>
      <c r="CM9" s="58">
        <v>1</v>
      </c>
      <c r="CN9" s="58" t="s">
        <v>3</v>
      </c>
      <c r="CO9" s="58">
        <v>2</v>
      </c>
      <c r="CP9" s="17">
        <f t="shared" si="16"/>
        <v>1</v>
      </c>
      <c r="CQ9" s="37"/>
      <c r="CR9" s="5"/>
      <c r="CS9" s="58">
        <v>1</v>
      </c>
      <c r="CT9" s="58" t="s">
        <v>3</v>
      </c>
      <c r="CU9" s="58">
        <v>2</v>
      </c>
      <c r="CV9" s="17">
        <f t="shared" si="17"/>
        <v>1</v>
      </c>
      <c r="CW9" s="37"/>
      <c r="CX9" s="5"/>
      <c r="CY9" s="58">
        <v>1</v>
      </c>
      <c r="CZ9" s="58" t="s">
        <v>3</v>
      </c>
      <c r="DA9" s="58">
        <v>2</v>
      </c>
      <c r="DB9" s="17">
        <f t="shared" si="18"/>
        <v>1</v>
      </c>
      <c r="DC9" s="37"/>
      <c r="DD9" s="5"/>
      <c r="DE9" s="58">
        <v>1</v>
      </c>
      <c r="DF9" s="58" t="s">
        <v>3</v>
      </c>
      <c r="DG9" s="58">
        <v>3</v>
      </c>
      <c r="DH9" s="17">
        <f t="shared" si="19"/>
        <v>3</v>
      </c>
      <c r="DI9" s="37"/>
      <c r="DJ9" s="5"/>
      <c r="DK9" s="58">
        <v>1</v>
      </c>
      <c r="DL9" s="58" t="s">
        <v>3</v>
      </c>
      <c r="DM9" s="58">
        <v>2</v>
      </c>
      <c r="DN9" s="17">
        <f t="shared" si="20"/>
        <v>1</v>
      </c>
      <c r="DO9" s="37"/>
      <c r="DP9" s="5"/>
      <c r="DQ9" s="58">
        <v>0</v>
      </c>
      <c r="DR9" s="58" t="s">
        <v>3</v>
      </c>
      <c r="DS9" s="58">
        <v>1</v>
      </c>
      <c r="DT9" s="17">
        <f t="shared" si="21"/>
        <v>1</v>
      </c>
      <c r="DU9" s="37"/>
      <c r="DV9" s="5"/>
      <c r="DW9" s="58">
        <v>1</v>
      </c>
      <c r="DX9" s="58" t="s">
        <v>3</v>
      </c>
      <c r="DY9" s="58">
        <v>2</v>
      </c>
      <c r="DZ9" s="17">
        <f t="shared" si="22"/>
        <v>1</v>
      </c>
      <c r="EA9" s="37"/>
      <c r="EB9" s="5"/>
      <c r="EC9" s="58">
        <v>0</v>
      </c>
      <c r="ED9" s="58" t="s">
        <v>3</v>
      </c>
      <c r="EE9" s="58">
        <v>1</v>
      </c>
      <c r="EF9" s="17">
        <f t="shared" si="23"/>
        <v>1</v>
      </c>
      <c r="EG9" s="37"/>
      <c r="EH9" s="5"/>
      <c r="EI9" s="58">
        <v>1</v>
      </c>
      <c r="EJ9" s="58" t="s">
        <v>3</v>
      </c>
      <c r="EK9" s="58">
        <v>3</v>
      </c>
      <c r="EL9" s="17">
        <f t="shared" si="24"/>
        <v>3</v>
      </c>
      <c r="EM9" s="37"/>
      <c r="EN9" s="5"/>
      <c r="EO9" s="58">
        <v>1</v>
      </c>
      <c r="EP9" s="91" t="s">
        <v>3</v>
      </c>
      <c r="EQ9" s="58">
        <v>1</v>
      </c>
      <c r="ER9" s="17">
        <f t="shared" si="25"/>
        <v>0</v>
      </c>
      <c r="ES9" s="37"/>
      <c r="ET9" s="5"/>
      <c r="EU9" s="58">
        <v>1</v>
      </c>
      <c r="EV9" s="58" t="s">
        <v>3</v>
      </c>
      <c r="EW9" s="58">
        <v>3</v>
      </c>
      <c r="EX9" s="17">
        <f t="shared" si="26"/>
        <v>3</v>
      </c>
      <c r="EY9" s="37"/>
      <c r="EZ9" s="5"/>
      <c r="FA9" s="58">
        <v>1</v>
      </c>
      <c r="FB9" s="58" t="s">
        <v>3</v>
      </c>
      <c r="FC9" s="58">
        <v>2</v>
      </c>
      <c r="FD9" s="17">
        <f t="shared" si="27"/>
        <v>1</v>
      </c>
      <c r="FE9" s="37"/>
      <c r="FF9" s="5"/>
      <c r="FG9" s="58">
        <v>1</v>
      </c>
      <c r="FH9" s="58" t="s">
        <v>3</v>
      </c>
      <c r="FI9" s="58">
        <v>2</v>
      </c>
      <c r="FJ9" s="17">
        <f t="shared" si="28"/>
        <v>1</v>
      </c>
      <c r="FK9" s="37"/>
      <c r="FL9" s="5"/>
      <c r="FM9" s="58">
        <v>1</v>
      </c>
      <c r="FN9" s="58" t="s">
        <v>3</v>
      </c>
      <c r="FO9" s="58">
        <v>2</v>
      </c>
      <c r="FP9" s="17">
        <f t="shared" si="29"/>
        <v>1</v>
      </c>
      <c r="FQ9" s="37"/>
      <c r="FR9" s="5"/>
      <c r="FS9" s="58">
        <v>1</v>
      </c>
      <c r="FT9" s="58" t="s">
        <v>3</v>
      </c>
      <c r="FU9" s="58">
        <v>2</v>
      </c>
      <c r="FV9" s="17">
        <f t="shared" si="30"/>
        <v>1</v>
      </c>
      <c r="FW9" s="37"/>
      <c r="FX9" s="5"/>
      <c r="FY9" s="58">
        <v>1</v>
      </c>
      <c r="FZ9" s="58" t="s">
        <v>3</v>
      </c>
      <c r="GA9" s="58">
        <v>2</v>
      </c>
      <c r="GB9" s="17">
        <f t="shared" si="31"/>
        <v>1</v>
      </c>
      <c r="GC9" s="37"/>
      <c r="GD9" s="5"/>
      <c r="GE9" s="58">
        <v>2</v>
      </c>
      <c r="GF9" s="58" t="s">
        <v>3</v>
      </c>
      <c r="GG9" s="58">
        <v>1</v>
      </c>
      <c r="GH9" s="17">
        <f t="shared" si="32"/>
        <v>0</v>
      </c>
      <c r="GI9" s="37"/>
      <c r="GJ9" s="5"/>
      <c r="GK9" s="58">
        <v>1</v>
      </c>
      <c r="GL9" s="58" t="s">
        <v>3</v>
      </c>
      <c r="GM9" s="58">
        <v>1</v>
      </c>
      <c r="GN9" s="17">
        <f t="shared" si="33"/>
        <v>0</v>
      </c>
      <c r="GO9" s="37"/>
      <c r="GP9" s="5"/>
      <c r="GQ9" s="58">
        <v>1</v>
      </c>
      <c r="GR9" s="58" t="s">
        <v>3</v>
      </c>
      <c r="GS9" s="58">
        <v>3</v>
      </c>
      <c r="GT9" s="17">
        <f t="shared" si="34"/>
        <v>3</v>
      </c>
      <c r="GU9" s="37"/>
      <c r="GV9" s="5"/>
    </row>
    <row r="10" spans="1:204" ht="18" x14ac:dyDescent="0.25">
      <c r="A10" s="62" t="s">
        <v>109</v>
      </c>
      <c r="B10" s="77" t="s">
        <v>101</v>
      </c>
      <c r="C10" s="78" t="s">
        <v>3</v>
      </c>
      <c r="D10" s="79" t="s">
        <v>105</v>
      </c>
      <c r="E10" s="54">
        <v>0</v>
      </c>
      <c r="F10" s="55" t="s">
        <v>3</v>
      </c>
      <c r="G10" s="55">
        <v>1</v>
      </c>
      <c r="I10" s="49">
        <f t="shared" si="0"/>
        <v>2</v>
      </c>
      <c r="J10" s="49">
        <f t="shared" si="1"/>
        <v>6</v>
      </c>
      <c r="K10" s="49">
        <f t="shared" si="2"/>
        <v>0</v>
      </c>
      <c r="L10" s="5"/>
      <c r="M10" s="58">
        <v>1</v>
      </c>
      <c r="N10" s="58" t="s">
        <v>3</v>
      </c>
      <c r="O10" s="58">
        <v>1</v>
      </c>
      <c r="P10" s="17">
        <f t="shared" si="4"/>
        <v>0</v>
      </c>
      <c r="Q10" s="35"/>
      <c r="R10" s="5"/>
      <c r="S10" s="58">
        <v>2</v>
      </c>
      <c r="T10" s="58" t="s">
        <v>3</v>
      </c>
      <c r="U10" s="58">
        <v>1</v>
      </c>
      <c r="V10" s="17">
        <f t="shared" si="5"/>
        <v>0</v>
      </c>
      <c r="W10" s="37"/>
      <c r="X10" s="5"/>
      <c r="Y10" s="58">
        <v>3</v>
      </c>
      <c r="Z10" s="58" t="s">
        <v>3</v>
      </c>
      <c r="AA10" s="58">
        <v>0</v>
      </c>
      <c r="AB10" s="17">
        <f t="shared" si="6"/>
        <v>0</v>
      </c>
      <c r="AC10" s="37"/>
      <c r="AD10" s="5"/>
      <c r="AE10" s="58">
        <v>1</v>
      </c>
      <c r="AF10" s="58" t="s">
        <v>3</v>
      </c>
      <c r="AG10" s="58">
        <v>2</v>
      </c>
      <c r="AH10" s="17">
        <f t="shared" si="7"/>
        <v>2</v>
      </c>
      <c r="AI10" s="37"/>
      <c r="AJ10" s="5"/>
      <c r="AK10" s="58">
        <v>1</v>
      </c>
      <c r="AL10" s="58" t="s">
        <v>3</v>
      </c>
      <c r="AM10" s="58">
        <v>1</v>
      </c>
      <c r="AN10" s="17">
        <f t="shared" si="8"/>
        <v>0</v>
      </c>
      <c r="AO10" s="37"/>
      <c r="AP10" s="5"/>
      <c r="AQ10" s="58">
        <v>2</v>
      </c>
      <c r="AR10" s="58" t="s">
        <v>3</v>
      </c>
      <c r="AS10" s="58">
        <v>1</v>
      </c>
      <c r="AT10" s="17">
        <f t="shared" si="9"/>
        <v>0</v>
      </c>
      <c r="AU10" s="37"/>
      <c r="AV10" s="5"/>
      <c r="AW10" s="58">
        <v>1</v>
      </c>
      <c r="AX10" s="58" t="s">
        <v>3</v>
      </c>
      <c r="AY10" s="58">
        <v>1</v>
      </c>
      <c r="AZ10" s="17">
        <f t="shared" si="10"/>
        <v>0</v>
      </c>
      <c r="BA10" s="37"/>
      <c r="BB10" s="5"/>
      <c r="BC10" s="58">
        <v>2</v>
      </c>
      <c r="BD10" s="58" t="s">
        <v>3</v>
      </c>
      <c r="BE10" s="58">
        <v>2</v>
      </c>
      <c r="BF10" s="17">
        <f t="shared" si="11"/>
        <v>0</v>
      </c>
      <c r="BG10" s="37"/>
      <c r="BH10" s="5"/>
      <c r="BI10" s="58">
        <v>1</v>
      </c>
      <c r="BJ10" s="58" t="s">
        <v>3</v>
      </c>
      <c r="BK10" s="58">
        <v>2</v>
      </c>
      <c r="BL10" s="17">
        <f t="shared" si="12"/>
        <v>2</v>
      </c>
      <c r="BM10" s="37"/>
      <c r="BN10" s="5"/>
      <c r="BO10" s="58">
        <v>1</v>
      </c>
      <c r="BP10" s="58" t="s">
        <v>3</v>
      </c>
      <c r="BQ10" s="58">
        <v>0</v>
      </c>
      <c r="BR10" s="17">
        <f t="shared" si="13"/>
        <v>0</v>
      </c>
      <c r="BS10" s="37"/>
      <c r="BT10" s="5"/>
      <c r="BU10" s="58">
        <v>1</v>
      </c>
      <c r="BV10" s="58" t="s">
        <v>3</v>
      </c>
      <c r="BW10" s="58">
        <v>2</v>
      </c>
      <c r="BX10" s="17">
        <f t="shared" si="14"/>
        <v>2</v>
      </c>
      <c r="BY10" s="37"/>
      <c r="BZ10" s="5"/>
      <c r="CA10" s="58">
        <v>1</v>
      </c>
      <c r="CB10" s="58" t="s">
        <v>3</v>
      </c>
      <c r="CC10" s="58">
        <v>1</v>
      </c>
      <c r="CD10" s="17">
        <f t="shared" si="3"/>
        <v>0</v>
      </c>
      <c r="CE10" s="37"/>
      <c r="CF10" s="5"/>
      <c r="CG10" s="58">
        <v>1</v>
      </c>
      <c r="CH10" s="58" t="s">
        <v>3</v>
      </c>
      <c r="CI10" s="58">
        <v>0</v>
      </c>
      <c r="CJ10" s="17">
        <f t="shared" si="15"/>
        <v>0</v>
      </c>
      <c r="CK10" s="37"/>
      <c r="CL10" s="5"/>
      <c r="CM10" s="58">
        <v>1</v>
      </c>
      <c r="CN10" s="58" t="s">
        <v>3</v>
      </c>
      <c r="CO10" s="58">
        <v>1</v>
      </c>
      <c r="CP10" s="17">
        <f t="shared" si="16"/>
        <v>0</v>
      </c>
      <c r="CQ10" s="37"/>
      <c r="CR10" s="5"/>
      <c r="CS10" s="58">
        <v>1</v>
      </c>
      <c r="CT10" s="58" t="s">
        <v>3</v>
      </c>
      <c r="CU10" s="58">
        <v>2</v>
      </c>
      <c r="CV10" s="17">
        <f t="shared" si="17"/>
        <v>2</v>
      </c>
      <c r="CW10" s="37"/>
      <c r="CX10" s="5"/>
      <c r="CY10" s="58">
        <v>1</v>
      </c>
      <c r="CZ10" s="58" t="s">
        <v>3</v>
      </c>
      <c r="DA10" s="58">
        <v>2</v>
      </c>
      <c r="DB10" s="17">
        <f t="shared" si="18"/>
        <v>2</v>
      </c>
      <c r="DC10" s="37"/>
      <c r="DD10" s="5"/>
      <c r="DE10" s="58">
        <v>0</v>
      </c>
      <c r="DF10" s="58" t="s">
        <v>3</v>
      </c>
      <c r="DG10" s="58">
        <v>0</v>
      </c>
      <c r="DH10" s="17">
        <f t="shared" si="19"/>
        <v>0</v>
      </c>
      <c r="DI10" s="37"/>
      <c r="DJ10" s="5"/>
      <c r="DK10" s="58">
        <v>0</v>
      </c>
      <c r="DL10" s="58" t="s">
        <v>3</v>
      </c>
      <c r="DM10" s="58">
        <v>1</v>
      </c>
      <c r="DN10" s="17">
        <f t="shared" si="20"/>
        <v>3</v>
      </c>
      <c r="DO10" s="37"/>
      <c r="DP10" s="5"/>
      <c r="DQ10" s="58">
        <v>1</v>
      </c>
      <c r="DR10" s="58" t="s">
        <v>3</v>
      </c>
      <c r="DS10" s="58">
        <v>1</v>
      </c>
      <c r="DT10" s="17">
        <f t="shared" si="21"/>
        <v>0</v>
      </c>
      <c r="DU10" s="37"/>
      <c r="DV10" s="5"/>
      <c r="DW10" s="58">
        <v>2</v>
      </c>
      <c r="DX10" s="58" t="s">
        <v>3</v>
      </c>
      <c r="DY10" s="58">
        <v>1</v>
      </c>
      <c r="DZ10" s="17">
        <f t="shared" si="22"/>
        <v>0</v>
      </c>
      <c r="EA10" s="37"/>
      <c r="EB10" s="5"/>
      <c r="EC10" s="58">
        <v>1</v>
      </c>
      <c r="ED10" s="58" t="s">
        <v>3</v>
      </c>
      <c r="EE10" s="58">
        <v>1</v>
      </c>
      <c r="EF10" s="17">
        <f t="shared" si="23"/>
        <v>0</v>
      </c>
      <c r="EG10" s="37"/>
      <c r="EH10" s="5"/>
      <c r="EI10" s="58">
        <v>0</v>
      </c>
      <c r="EJ10" s="58" t="s">
        <v>3</v>
      </c>
      <c r="EK10" s="58">
        <v>1</v>
      </c>
      <c r="EL10" s="17">
        <f t="shared" si="24"/>
        <v>3</v>
      </c>
      <c r="EM10" s="37"/>
      <c r="EN10" s="5"/>
      <c r="EO10" s="58">
        <v>2</v>
      </c>
      <c r="EP10" s="58" t="s">
        <v>3</v>
      </c>
      <c r="EQ10" s="58">
        <v>1</v>
      </c>
      <c r="ER10" s="17">
        <f t="shared" si="25"/>
        <v>0</v>
      </c>
      <c r="ES10" s="37"/>
      <c r="ET10" s="5"/>
      <c r="EU10" s="58">
        <v>1</v>
      </c>
      <c r="EV10" s="58" t="s">
        <v>3</v>
      </c>
      <c r="EW10" s="58">
        <v>2</v>
      </c>
      <c r="EX10" s="17">
        <f t="shared" si="26"/>
        <v>2</v>
      </c>
      <c r="EY10" s="37"/>
      <c r="EZ10" s="5"/>
      <c r="FA10" s="58">
        <v>1</v>
      </c>
      <c r="FB10" s="58" t="s">
        <v>3</v>
      </c>
      <c r="FC10" s="58">
        <v>1</v>
      </c>
      <c r="FD10" s="17">
        <f t="shared" si="27"/>
        <v>0</v>
      </c>
      <c r="FE10" s="37"/>
      <c r="FF10" s="5"/>
      <c r="FG10" s="58">
        <v>1</v>
      </c>
      <c r="FH10" s="58" t="s">
        <v>3</v>
      </c>
      <c r="FI10" s="58">
        <v>1</v>
      </c>
      <c r="FJ10" s="17">
        <f t="shared" si="28"/>
        <v>0</v>
      </c>
      <c r="FK10" s="37"/>
      <c r="FL10" s="5"/>
      <c r="FM10" s="58">
        <v>0</v>
      </c>
      <c r="FN10" s="58" t="s">
        <v>3</v>
      </c>
      <c r="FO10" s="58">
        <v>0</v>
      </c>
      <c r="FP10" s="17">
        <f t="shared" si="29"/>
        <v>0</v>
      </c>
      <c r="FQ10" s="37"/>
      <c r="FR10" s="5"/>
      <c r="FS10" s="58">
        <v>1</v>
      </c>
      <c r="FT10" s="58" t="s">
        <v>3</v>
      </c>
      <c r="FU10" s="58">
        <v>1</v>
      </c>
      <c r="FV10" s="17">
        <f t="shared" si="30"/>
        <v>0</v>
      </c>
      <c r="FW10" s="37"/>
      <c r="FX10" s="5"/>
      <c r="FY10" s="58">
        <v>1</v>
      </c>
      <c r="FZ10" s="58" t="s">
        <v>3</v>
      </c>
      <c r="GA10" s="58">
        <v>1</v>
      </c>
      <c r="GB10" s="17">
        <f t="shared" si="31"/>
        <v>0</v>
      </c>
      <c r="GC10" s="37"/>
      <c r="GD10" s="5"/>
      <c r="GE10" s="58">
        <v>1</v>
      </c>
      <c r="GF10" s="58" t="s">
        <v>3</v>
      </c>
      <c r="GG10" s="58">
        <v>1</v>
      </c>
      <c r="GH10" s="17">
        <f t="shared" si="32"/>
        <v>0</v>
      </c>
      <c r="GI10" s="37"/>
      <c r="GJ10" s="5"/>
      <c r="GK10" s="58">
        <v>2</v>
      </c>
      <c r="GL10" s="58" t="s">
        <v>3</v>
      </c>
      <c r="GM10" s="58">
        <v>1</v>
      </c>
      <c r="GN10" s="17">
        <f t="shared" si="33"/>
        <v>0</v>
      </c>
      <c r="GO10" s="37"/>
      <c r="GP10" s="5"/>
      <c r="GQ10" s="58">
        <v>2</v>
      </c>
      <c r="GR10" s="58" t="s">
        <v>3</v>
      </c>
      <c r="GS10" s="58">
        <v>1</v>
      </c>
      <c r="GT10" s="17">
        <f t="shared" si="34"/>
        <v>0</v>
      </c>
      <c r="GU10" s="37"/>
      <c r="GV10" s="5"/>
    </row>
    <row r="11" spans="1:204" ht="18" x14ac:dyDescent="0.25">
      <c r="A11" s="62" t="s">
        <v>111</v>
      </c>
      <c r="B11" s="77" t="s">
        <v>103</v>
      </c>
      <c r="C11" s="78" t="s">
        <v>3</v>
      </c>
      <c r="D11" s="79" t="s">
        <v>98</v>
      </c>
      <c r="E11" s="54">
        <v>1</v>
      </c>
      <c r="F11" s="55" t="s">
        <v>3</v>
      </c>
      <c r="G11" s="55">
        <v>1</v>
      </c>
      <c r="I11" s="49">
        <f t="shared" si="0"/>
        <v>8</v>
      </c>
      <c r="J11" s="49">
        <f t="shared" si="1"/>
        <v>3</v>
      </c>
      <c r="K11" s="49">
        <f t="shared" si="2"/>
        <v>0</v>
      </c>
      <c r="L11" s="5"/>
      <c r="M11" s="58">
        <v>2</v>
      </c>
      <c r="N11" s="58" t="s">
        <v>3</v>
      </c>
      <c r="O11" s="58">
        <v>2</v>
      </c>
      <c r="P11" s="17">
        <f t="shared" si="4"/>
        <v>2</v>
      </c>
      <c r="Q11" s="35"/>
      <c r="R11" s="5"/>
      <c r="S11" s="58">
        <v>1</v>
      </c>
      <c r="T11" s="58" t="s">
        <v>3</v>
      </c>
      <c r="U11" s="58">
        <v>2</v>
      </c>
      <c r="V11" s="17">
        <f t="shared" si="5"/>
        <v>0</v>
      </c>
      <c r="W11" s="37"/>
      <c r="X11" s="5"/>
      <c r="Y11" s="58">
        <v>1</v>
      </c>
      <c r="Z11" s="58" t="s">
        <v>3</v>
      </c>
      <c r="AA11" s="58">
        <v>3</v>
      </c>
      <c r="AB11" s="17">
        <f t="shared" si="6"/>
        <v>0</v>
      </c>
      <c r="AC11" s="37"/>
      <c r="AD11" s="5"/>
      <c r="AE11" s="58">
        <v>0</v>
      </c>
      <c r="AF11" s="58" t="s">
        <v>3</v>
      </c>
      <c r="AG11" s="58">
        <v>2</v>
      </c>
      <c r="AH11" s="17">
        <f t="shared" si="7"/>
        <v>0</v>
      </c>
      <c r="AI11" s="37"/>
      <c r="AJ11" s="5"/>
      <c r="AK11" s="58">
        <v>1</v>
      </c>
      <c r="AL11" s="58" t="s">
        <v>3</v>
      </c>
      <c r="AM11" s="58">
        <v>1</v>
      </c>
      <c r="AN11" s="17">
        <f t="shared" si="8"/>
        <v>3</v>
      </c>
      <c r="AO11" s="37"/>
      <c r="AP11" s="5"/>
      <c r="AQ11" s="58">
        <v>2</v>
      </c>
      <c r="AR11" s="58" t="s">
        <v>3</v>
      </c>
      <c r="AS11" s="58">
        <v>0</v>
      </c>
      <c r="AT11" s="17">
        <f t="shared" si="9"/>
        <v>0</v>
      </c>
      <c r="AU11" s="37"/>
      <c r="AV11" s="5"/>
      <c r="AW11" s="58">
        <v>1</v>
      </c>
      <c r="AX11" s="58" t="s">
        <v>3</v>
      </c>
      <c r="AY11" s="58">
        <v>1</v>
      </c>
      <c r="AZ11" s="17">
        <f t="shared" si="10"/>
        <v>3</v>
      </c>
      <c r="BA11" s="37"/>
      <c r="BB11" s="5"/>
      <c r="BC11" s="58">
        <v>1</v>
      </c>
      <c r="BD11" s="58" t="s">
        <v>3</v>
      </c>
      <c r="BE11" s="58">
        <v>1</v>
      </c>
      <c r="BF11" s="17">
        <f t="shared" si="11"/>
        <v>3</v>
      </c>
      <c r="BG11" s="37"/>
      <c r="BH11" s="5"/>
      <c r="BI11" s="58">
        <v>0</v>
      </c>
      <c r="BJ11" s="58" t="s">
        <v>3</v>
      </c>
      <c r="BK11" s="58">
        <v>2</v>
      </c>
      <c r="BL11" s="17">
        <f t="shared" si="12"/>
        <v>0</v>
      </c>
      <c r="BM11" s="37"/>
      <c r="BN11" s="5"/>
      <c r="BO11" s="58">
        <v>0</v>
      </c>
      <c r="BP11" s="58" t="s">
        <v>3</v>
      </c>
      <c r="BQ11" s="58">
        <v>1</v>
      </c>
      <c r="BR11" s="17">
        <f t="shared" si="13"/>
        <v>0</v>
      </c>
      <c r="BS11" s="37"/>
      <c r="BT11" s="5"/>
      <c r="BU11" s="58">
        <v>2</v>
      </c>
      <c r="BV11" s="58" t="s">
        <v>3</v>
      </c>
      <c r="BW11" s="58">
        <v>2</v>
      </c>
      <c r="BX11" s="17">
        <f t="shared" si="14"/>
        <v>2</v>
      </c>
      <c r="BY11" s="37"/>
      <c r="BZ11" s="5"/>
      <c r="CA11" s="58">
        <v>1</v>
      </c>
      <c r="CB11" s="58" t="s">
        <v>3</v>
      </c>
      <c r="CC11" s="58">
        <v>3</v>
      </c>
      <c r="CD11" s="17">
        <f t="shared" si="3"/>
        <v>0</v>
      </c>
      <c r="CE11" s="37"/>
      <c r="CF11" s="5"/>
      <c r="CG11" s="58">
        <v>1</v>
      </c>
      <c r="CH11" s="58" t="s">
        <v>3</v>
      </c>
      <c r="CI11" s="58">
        <v>2</v>
      </c>
      <c r="CJ11" s="17">
        <f t="shared" si="15"/>
        <v>0</v>
      </c>
      <c r="CK11" s="37"/>
      <c r="CL11" s="5"/>
      <c r="CM11" s="58">
        <v>1</v>
      </c>
      <c r="CN11" s="58"/>
      <c r="CO11" s="58">
        <v>2</v>
      </c>
      <c r="CP11" s="17">
        <f t="shared" si="16"/>
        <v>0</v>
      </c>
      <c r="CQ11" s="37"/>
      <c r="CR11" s="5"/>
      <c r="CS11" s="58">
        <v>1</v>
      </c>
      <c r="CT11" s="58" t="s">
        <v>3</v>
      </c>
      <c r="CU11" s="58">
        <v>1</v>
      </c>
      <c r="CV11" s="17">
        <f t="shared" si="17"/>
        <v>3</v>
      </c>
      <c r="CW11" s="37"/>
      <c r="CX11" s="5"/>
      <c r="CY11" s="58">
        <v>2</v>
      </c>
      <c r="CZ11" s="58" t="s">
        <v>3</v>
      </c>
      <c r="DA11" s="58">
        <v>1</v>
      </c>
      <c r="DB11" s="17">
        <f t="shared" si="18"/>
        <v>0</v>
      </c>
      <c r="DC11" s="37"/>
      <c r="DD11" s="5"/>
      <c r="DE11" s="58">
        <v>1</v>
      </c>
      <c r="DF11" s="58" t="s">
        <v>3</v>
      </c>
      <c r="DG11" s="58">
        <v>2</v>
      </c>
      <c r="DH11" s="17">
        <f t="shared" si="19"/>
        <v>0</v>
      </c>
      <c r="DI11" s="37"/>
      <c r="DJ11" s="5"/>
      <c r="DK11" s="58">
        <v>2</v>
      </c>
      <c r="DL11" s="58" t="s">
        <v>3</v>
      </c>
      <c r="DM11" s="58">
        <v>3</v>
      </c>
      <c r="DN11" s="17">
        <f t="shared" si="20"/>
        <v>0</v>
      </c>
      <c r="DO11" s="37"/>
      <c r="DP11" s="5"/>
      <c r="DQ11" s="58">
        <v>0</v>
      </c>
      <c r="DR11" s="58" t="s">
        <v>3</v>
      </c>
      <c r="DS11" s="58">
        <v>1</v>
      </c>
      <c r="DT11" s="17">
        <f t="shared" si="21"/>
        <v>0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0</v>
      </c>
      <c r="EA11" s="37"/>
      <c r="EB11" s="5"/>
      <c r="EC11" s="58">
        <v>1</v>
      </c>
      <c r="ED11" s="58" t="s">
        <v>3</v>
      </c>
      <c r="EE11" s="58">
        <v>1</v>
      </c>
      <c r="EF11" s="17">
        <f t="shared" si="23"/>
        <v>3</v>
      </c>
      <c r="EG11" s="37"/>
      <c r="EH11" s="5"/>
      <c r="EI11" s="58">
        <v>1</v>
      </c>
      <c r="EJ11" s="58" t="s">
        <v>3</v>
      </c>
      <c r="EK11" s="58">
        <v>2</v>
      </c>
      <c r="EL11" s="17">
        <f t="shared" si="24"/>
        <v>0</v>
      </c>
      <c r="EM11" s="37"/>
      <c r="EN11" s="5"/>
      <c r="EO11" s="58">
        <v>1</v>
      </c>
      <c r="EP11" s="58" t="s">
        <v>3</v>
      </c>
      <c r="EQ11" s="58">
        <v>1</v>
      </c>
      <c r="ER11" s="17">
        <f t="shared" si="25"/>
        <v>3</v>
      </c>
      <c r="ES11" s="37"/>
      <c r="ET11" s="5"/>
      <c r="EU11" s="58">
        <v>2</v>
      </c>
      <c r="EV11" s="58" t="s">
        <v>3</v>
      </c>
      <c r="EW11" s="58">
        <v>3</v>
      </c>
      <c r="EX11" s="17">
        <f t="shared" si="26"/>
        <v>0</v>
      </c>
      <c r="EY11" s="37"/>
      <c r="EZ11" s="5"/>
      <c r="FA11" s="58">
        <v>1</v>
      </c>
      <c r="FB11" s="58" t="s">
        <v>3</v>
      </c>
      <c r="FC11" s="58">
        <v>2</v>
      </c>
      <c r="FD11" s="17">
        <f t="shared" si="27"/>
        <v>0</v>
      </c>
      <c r="FE11" s="37"/>
      <c r="FF11" s="5"/>
      <c r="FG11" s="58">
        <v>2</v>
      </c>
      <c r="FH11" s="58" t="s">
        <v>3</v>
      </c>
      <c r="FI11" s="58">
        <v>1</v>
      </c>
      <c r="FJ11" s="17">
        <f t="shared" si="28"/>
        <v>0</v>
      </c>
      <c r="FK11" s="37"/>
      <c r="FL11" s="5"/>
      <c r="FM11" s="58">
        <v>2</v>
      </c>
      <c r="FN11" s="58" t="s">
        <v>3</v>
      </c>
      <c r="FO11" s="58">
        <v>1</v>
      </c>
      <c r="FP11" s="17">
        <f t="shared" si="29"/>
        <v>0</v>
      </c>
      <c r="FQ11" s="37"/>
      <c r="FR11" s="5"/>
      <c r="FS11" s="58">
        <v>1</v>
      </c>
      <c r="FT11" s="58" t="s">
        <v>3</v>
      </c>
      <c r="FU11" s="58">
        <v>1</v>
      </c>
      <c r="FV11" s="17">
        <f t="shared" si="30"/>
        <v>3</v>
      </c>
      <c r="FW11" s="37"/>
      <c r="FX11" s="5"/>
      <c r="FY11" s="58">
        <v>2</v>
      </c>
      <c r="FZ11" s="58" t="s">
        <v>3</v>
      </c>
      <c r="GA11" s="58">
        <v>1</v>
      </c>
      <c r="GB11" s="17">
        <f t="shared" si="31"/>
        <v>0</v>
      </c>
      <c r="GC11" s="37"/>
      <c r="GD11" s="5"/>
      <c r="GE11" s="58">
        <v>1</v>
      </c>
      <c r="GF11" s="58" t="s">
        <v>3</v>
      </c>
      <c r="GG11" s="58">
        <v>2</v>
      </c>
      <c r="GH11" s="17">
        <f t="shared" si="32"/>
        <v>0</v>
      </c>
      <c r="GI11" s="37"/>
      <c r="GJ11" s="5"/>
      <c r="GK11" s="58">
        <v>1</v>
      </c>
      <c r="GL11" s="58" t="s">
        <v>3</v>
      </c>
      <c r="GM11" s="58">
        <v>1</v>
      </c>
      <c r="GN11" s="17">
        <f t="shared" si="33"/>
        <v>3</v>
      </c>
      <c r="GO11" s="37"/>
      <c r="GP11" s="5"/>
      <c r="GQ11" s="58">
        <v>2</v>
      </c>
      <c r="GR11" s="58" t="s">
        <v>3</v>
      </c>
      <c r="GS11" s="58">
        <v>2</v>
      </c>
      <c r="GT11" s="17">
        <f t="shared" si="34"/>
        <v>2</v>
      </c>
      <c r="GU11" s="37"/>
      <c r="GV11" s="5"/>
    </row>
    <row r="12" spans="1:204" ht="18" x14ac:dyDescent="0.25">
      <c r="A12" s="62" t="s">
        <v>110</v>
      </c>
      <c r="B12" s="77" t="s">
        <v>100</v>
      </c>
      <c r="C12" s="78" t="s">
        <v>3</v>
      </c>
      <c r="D12" s="79" t="s">
        <v>94</v>
      </c>
      <c r="E12" s="54">
        <v>1</v>
      </c>
      <c r="F12" s="55" t="s">
        <v>3</v>
      </c>
      <c r="G12" s="55">
        <v>0</v>
      </c>
      <c r="I12" s="49">
        <f t="shared" si="0"/>
        <v>6</v>
      </c>
      <c r="J12" s="49">
        <f t="shared" si="1"/>
        <v>12</v>
      </c>
      <c r="K12" s="49">
        <f t="shared" si="2"/>
        <v>2</v>
      </c>
      <c r="L12" s="5"/>
      <c r="M12" s="58">
        <v>1</v>
      </c>
      <c r="N12" s="58" t="s">
        <v>3</v>
      </c>
      <c r="O12" s="58">
        <v>0</v>
      </c>
      <c r="P12" s="17">
        <f t="shared" si="4"/>
        <v>3</v>
      </c>
      <c r="Q12" s="35"/>
      <c r="R12" s="5"/>
      <c r="S12" s="58">
        <v>2</v>
      </c>
      <c r="T12" s="58" t="s">
        <v>3</v>
      </c>
      <c r="U12" s="58">
        <v>1</v>
      </c>
      <c r="V12" s="17">
        <f t="shared" si="5"/>
        <v>2</v>
      </c>
      <c r="W12" s="37"/>
      <c r="X12" s="5"/>
      <c r="Y12" s="58">
        <v>2</v>
      </c>
      <c r="Z12" s="58" t="s">
        <v>3</v>
      </c>
      <c r="AA12" s="58">
        <v>1</v>
      </c>
      <c r="AB12" s="17">
        <f t="shared" si="6"/>
        <v>2</v>
      </c>
      <c r="AC12" s="37"/>
      <c r="AD12" s="5"/>
      <c r="AE12" s="58">
        <v>1</v>
      </c>
      <c r="AF12" s="58" t="s">
        <v>3</v>
      </c>
      <c r="AG12" s="58">
        <v>1</v>
      </c>
      <c r="AH12" s="17">
        <f t="shared" si="7"/>
        <v>0</v>
      </c>
      <c r="AI12" s="37"/>
      <c r="AJ12" s="5"/>
      <c r="AK12" s="58">
        <v>1</v>
      </c>
      <c r="AL12" s="58" t="s">
        <v>3</v>
      </c>
      <c r="AM12" s="58">
        <v>1</v>
      </c>
      <c r="AN12" s="17">
        <f t="shared" si="8"/>
        <v>0</v>
      </c>
      <c r="AO12" s="37"/>
      <c r="AP12" s="5"/>
      <c r="AQ12" s="58">
        <v>2</v>
      </c>
      <c r="AR12" s="58" t="s">
        <v>3</v>
      </c>
      <c r="AS12" s="58">
        <v>1</v>
      </c>
      <c r="AT12" s="17">
        <f t="shared" si="9"/>
        <v>2</v>
      </c>
      <c r="AU12" s="37"/>
      <c r="AV12" s="5"/>
      <c r="AW12" s="58">
        <v>1</v>
      </c>
      <c r="AX12" s="58" t="s">
        <v>3</v>
      </c>
      <c r="AY12" s="58">
        <v>0</v>
      </c>
      <c r="AZ12" s="17">
        <f t="shared" si="10"/>
        <v>3</v>
      </c>
      <c r="BA12" s="37"/>
      <c r="BB12" s="5"/>
      <c r="BC12" s="58">
        <v>0</v>
      </c>
      <c r="BD12" s="58" t="s">
        <v>3</v>
      </c>
      <c r="BE12" s="58">
        <v>1</v>
      </c>
      <c r="BF12" s="17">
        <f t="shared" si="11"/>
        <v>0</v>
      </c>
      <c r="BG12" s="37"/>
      <c r="BH12" s="5"/>
      <c r="BI12" s="58">
        <v>1</v>
      </c>
      <c r="BJ12" s="58" t="s">
        <v>3</v>
      </c>
      <c r="BK12" s="58">
        <v>0</v>
      </c>
      <c r="BL12" s="17">
        <f t="shared" si="12"/>
        <v>3</v>
      </c>
      <c r="BM12" s="37"/>
      <c r="BN12" s="5"/>
      <c r="BO12" s="58">
        <v>2</v>
      </c>
      <c r="BP12" s="58" t="s">
        <v>3</v>
      </c>
      <c r="BQ12" s="58">
        <v>1</v>
      </c>
      <c r="BR12" s="17">
        <f t="shared" si="13"/>
        <v>2</v>
      </c>
      <c r="BS12" s="37"/>
      <c r="BT12" s="5"/>
      <c r="BU12" s="58">
        <v>2</v>
      </c>
      <c r="BV12" s="58" t="s">
        <v>3</v>
      </c>
      <c r="BW12" s="58">
        <v>1</v>
      </c>
      <c r="BX12" s="17">
        <f t="shared" si="14"/>
        <v>2</v>
      </c>
      <c r="BY12" s="37"/>
      <c r="BZ12" s="5"/>
      <c r="CA12" s="58">
        <v>2</v>
      </c>
      <c r="CB12" s="58" t="s">
        <v>3</v>
      </c>
      <c r="CC12" s="58">
        <v>2</v>
      </c>
      <c r="CD12" s="17">
        <f t="shared" si="3"/>
        <v>0</v>
      </c>
      <c r="CE12" s="37"/>
      <c r="CF12" s="5"/>
      <c r="CG12" s="58">
        <v>2</v>
      </c>
      <c r="CH12" s="58" t="s">
        <v>3</v>
      </c>
      <c r="CI12" s="58">
        <v>0</v>
      </c>
      <c r="CJ12" s="17">
        <f t="shared" si="15"/>
        <v>1</v>
      </c>
      <c r="CK12" s="37"/>
      <c r="CL12" s="5"/>
      <c r="CM12" s="58">
        <v>1</v>
      </c>
      <c r="CN12" s="58" t="s">
        <v>3</v>
      </c>
      <c r="CO12" s="58">
        <v>1</v>
      </c>
      <c r="CP12" s="17">
        <f t="shared" si="16"/>
        <v>0</v>
      </c>
      <c r="CQ12" s="37"/>
      <c r="CR12" s="5"/>
      <c r="CS12" s="58">
        <v>1</v>
      </c>
      <c r="CT12" s="58" t="s">
        <v>3</v>
      </c>
      <c r="CU12" s="58">
        <v>0</v>
      </c>
      <c r="CV12" s="17">
        <f t="shared" si="17"/>
        <v>3</v>
      </c>
      <c r="CW12" s="37"/>
      <c r="CX12" s="5"/>
      <c r="CY12" s="58">
        <v>2</v>
      </c>
      <c r="CZ12" s="58" t="s">
        <v>3</v>
      </c>
      <c r="DA12" s="58">
        <v>1</v>
      </c>
      <c r="DB12" s="17">
        <f t="shared" si="18"/>
        <v>2</v>
      </c>
      <c r="DC12" s="37"/>
      <c r="DD12" s="5"/>
      <c r="DE12" s="58">
        <v>2</v>
      </c>
      <c r="DF12" s="58" t="s">
        <v>3</v>
      </c>
      <c r="DG12" s="58">
        <v>1</v>
      </c>
      <c r="DH12" s="17">
        <f t="shared" si="19"/>
        <v>2</v>
      </c>
      <c r="DI12" s="37"/>
      <c r="DJ12" s="5"/>
      <c r="DK12" s="58">
        <v>1</v>
      </c>
      <c r="DL12" s="58" t="s">
        <v>3</v>
      </c>
      <c r="DM12" s="58">
        <v>0</v>
      </c>
      <c r="DN12" s="17">
        <f t="shared" si="20"/>
        <v>3</v>
      </c>
      <c r="DO12" s="37"/>
      <c r="DP12" s="5"/>
      <c r="DQ12" s="58">
        <v>1</v>
      </c>
      <c r="DR12" s="58" t="s">
        <v>3</v>
      </c>
      <c r="DS12" s="58">
        <v>2</v>
      </c>
      <c r="DT12" s="17">
        <f t="shared" si="21"/>
        <v>0</v>
      </c>
      <c r="DU12" s="37"/>
      <c r="DV12" s="5"/>
      <c r="DW12" s="58">
        <v>2</v>
      </c>
      <c r="DX12" s="58" t="s">
        <v>3</v>
      </c>
      <c r="DY12" s="58">
        <v>1</v>
      </c>
      <c r="DZ12" s="17">
        <f t="shared" si="22"/>
        <v>2</v>
      </c>
      <c r="EA12" s="37"/>
      <c r="EB12" s="5"/>
      <c r="EC12" s="58">
        <v>0</v>
      </c>
      <c r="ED12" s="58" t="s">
        <v>3</v>
      </c>
      <c r="EE12" s="58">
        <v>1</v>
      </c>
      <c r="EF12" s="17">
        <f t="shared" si="23"/>
        <v>0</v>
      </c>
      <c r="EG12" s="37"/>
      <c r="EH12" s="5"/>
      <c r="EI12" s="58">
        <v>2</v>
      </c>
      <c r="EJ12" s="58" t="s">
        <v>3</v>
      </c>
      <c r="EK12" s="58">
        <v>1</v>
      </c>
      <c r="EL12" s="17">
        <f t="shared" si="24"/>
        <v>2</v>
      </c>
      <c r="EM12" s="37"/>
      <c r="EN12" s="5"/>
      <c r="EO12" s="58">
        <v>2</v>
      </c>
      <c r="EP12" s="58" t="s">
        <v>3</v>
      </c>
      <c r="EQ12" s="58">
        <v>1</v>
      </c>
      <c r="ER12" s="17">
        <f t="shared" si="25"/>
        <v>2</v>
      </c>
      <c r="ES12" s="37"/>
      <c r="ET12" s="5"/>
      <c r="EU12" s="58">
        <v>1</v>
      </c>
      <c r="EV12" s="58" t="s">
        <v>3</v>
      </c>
      <c r="EW12" s="58">
        <v>1</v>
      </c>
      <c r="EX12" s="17">
        <f t="shared" si="26"/>
        <v>0</v>
      </c>
      <c r="EY12" s="37"/>
      <c r="EZ12" s="5"/>
      <c r="FA12" s="58">
        <v>3</v>
      </c>
      <c r="FB12" s="58" t="s">
        <v>3</v>
      </c>
      <c r="FC12" s="58">
        <v>1</v>
      </c>
      <c r="FD12" s="17">
        <f t="shared" si="27"/>
        <v>1</v>
      </c>
      <c r="FE12" s="37"/>
      <c r="FF12" s="5"/>
      <c r="FG12" s="58">
        <v>1</v>
      </c>
      <c r="FH12" s="58" t="s">
        <v>3</v>
      </c>
      <c r="FI12" s="58">
        <v>1</v>
      </c>
      <c r="FJ12" s="17">
        <f t="shared" si="28"/>
        <v>0</v>
      </c>
      <c r="FK12" s="37"/>
      <c r="FL12" s="5"/>
      <c r="FM12" s="58">
        <v>1</v>
      </c>
      <c r="FN12" s="58" t="s">
        <v>3</v>
      </c>
      <c r="FO12" s="58">
        <v>1</v>
      </c>
      <c r="FP12" s="17">
        <f t="shared" si="29"/>
        <v>0</v>
      </c>
      <c r="FQ12" s="37"/>
      <c r="FR12" s="5"/>
      <c r="FS12" s="58">
        <v>1</v>
      </c>
      <c r="FT12" s="58" t="s">
        <v>3</v>
      </c>
      <c r="FU12" s="58">
        <v>0</v>
      </c>
      <c r="FV12" s="17">
        <f t="shared" si="30"/>
        <v>3</v>
      </c>
      <c r="FW12" s="37"/>
      <c r="FX12" s="5"/>
      <c r="FY12" s="58">
        <v>1</v>
      </c>
      <c r="FZ12" s="58" t="s">
        <v>3</v>
      </c>
      <c r="GA12" s="58">
        <v>1</v>
      </c>
      <c r="GB12" s="17">
        <f t="shared" si="31"/>
        <v>0</v>
      </c>
      <c r="GC12" s="37"/>
      <c r="GD12" s="5"/>
      <c r="GE12" s="58">
        <v>2</v>
      </c>
      <c r="GF12" s="58" t="s">
        <v>3</v>
      </c>
      <c r="GG12" s="58">
        <v>1</v>
      </c>
      <c r="GH12" s="17">
        <f t="shared" si="32"/>
        <v>2</v>
      </c>
      <c r="GI12" s="37"/>
      <c r="GJ12" s="5"/>
      <c r="GK12" s="58">
        <v>1</v>
      </c>
      <c r="GL12" s="58" t="s">
        <v>3</v>
      </c>
      <c r="GM12" s="58">
        <v>1</v>
      </c>
      <c r="GN12" s="17">
        <f t="shared" si="33"/>
        <v>0</v>
      </c>
      <c r="GO12" s="37"/>
      <c r="GP12" s="5"/>
      <c r="GQ12" s="58">
        <v>2</v>
      </c>
      <c r="GR12" s="58" t="s">
        <v>3</v>
      </c>
      <c r="GS12" s="58">
        <v>1</v>
      </c>
      <c r="GT12" s="17">
        <f t="shared" si="34"/>
        <v>2</v>
      </c>
      <c r="GU12" s="37"/>
      <c r="GV12" s="5"/>
    </row>
    <row r="13" spans="1:204" ht="18" x14ac:dyDescent="0.25">
      <c r="A13" s="62" t="s">
        <v>110</v>
      </c>
      <c r="B13" s="77" t="s">
        <v>107</v>
      </c>
      <c r="C13" s="78" t="s">
        <v>3</v>
      </c>
      <c r="D13" s="79" t="s">
        <v>93</v>
      </c>
      <c r="E13" s="54">
        <v>0</v>
      </c>
      <c r="F13" s="55" t="s">
        <v>3</v>
      </c>
      <c r="G13" s="55">
        <v>3</v>
      </c>
      <c r="I13" s="49">
        <f t="shared" si="0"/>
        <v>0</v>
      </c>
      <c r="J13" s="49">
        <f t="shared" si="1"/>
        <v>0</v>
      </c>
      <c r="K13" s="49">
        <f t="shared" si="2"/>
        <v>21</v>
      </c>
      <c r="L13" s="5"/>
      <c r="M13" s="58">
        <v>1</v>
      </c>
      <c r="N13" s="58" t="s">
        <v>3</v>
      </c>
      <c r="O13" s="58">
        <v>2</v>
      </c>
      <c r="P13" s="17">
        <f t="shared" si="4"/>
        <v>1</v>
      </c>
      <c r="Q13" s="35"/>
      <c r="R13" s="5"/>
      <c r="S13" s="58">
        <v>1</v>
      </c>
      <c r="T13" s="58" t="s">
        <v>3</v>
      </c>
      <c r="U13" s="58">
        <v>2</v>
      </c>
      <c r="V13" s="17">
        <f t="shared" si="5"/>
        <v>1</v>
      </c>
      <c r="W13" s="37"/>
      <c r="X13" s="5"/>
      <c r="Y13" s="58">
        <v>1</v>
      </c>
      <c r="Z13" s="58" t="s">
        <v>3</v>
      </c>
      <c r="AA13" s="58">
        <v>2</v>
      </c>
      <c r="AB13" s="17">
        <f t="shared" si="6"/>
        <v>1</v>
      </c>
      <c r="AC13" s="37"/>
      <c r="AD13" s="5"/>
      <c r="AE13" s="58">
        <v>1</v>
      </c>
      <c r="AF13" s="58" t="s">
        <v>3</v>
      </c>
      <c r="AG13" s="58">
        <v>3</v>
      </c>
      <c r="AH13" s="17">
        <f t="shared" si="7"/>
        <v>1</v>
      </c>
      <c r="AI13" s="37"/>
      <c r="AJ13" s="5"/>
      <c r="AK13" s="58">
        <v>1</v>
      </c>
      <c r="AL13" s="58" t="s">
        <v>3</v>
      </c>
      <c r="AM13" s="58">
        <v>3</v>
      </c>
      <c r="AN13" s="17">
        <f t="shared" si="8"/>
        <v>1</v>
      </c>
      <c r="AO13" s="37"/>
      <c r="AP13" s="5"/>
      <c r="AQ13" s="58">
        <v>1</v>
      </c>
      <c r="AR13" s="58" t="s">
        <v>3</v>
      </c>
      <c r="AS13" s="58">
        <v>2</v>
      </c>
      <c r="AT13" s="17">
        <f t="shared" si="9"/>
        <v>1</v>
      </c>
      <c r="AU13" s="37"/>
      <c r="AV13" s="5"/>
      <c r="AW13" s="58">
        <v>1</v>
      </c>
      <c r="AX13" s="58" t="s">
        <v>3</v>
      </c>
      <c r="AY13" s="58">
        <v>1</v>
      </c>
      <c r="AZ13" s="17">
        <f t="shared" si="10"/>
        <v>0</v>
      </c>
      <c r="BA13" s="37"/>
      <c r="BB13" s="5"/>
      <c r="BC13" s="58">
        <v>1</v>
      </c>
      <c r="BD13" s="58" t="s">
        <v>3</v>
      </c>
      <c r="BE13" s="58">
        <v>2</v>
      </c>
      <c r="BF13" s="17">
        <f t="shared" si="11"/>
        <v>1</v>
      </c>
      <c r="BG13" s="37"/>
      <c r="BH13" s="5"/>
      <c r="BI13" s="58">
        <v>1</v>
      </c>
      <c r="BJ13" s="58" t="s">
        <v>3</v>
      </c>
      <c r="BK13" s="58">
        <v>0</v>
      </c>
      <c r="BL13" s="17">
        <f t="shared" si="12"/>
        <v>0</v>
      </c>
      <c r="BM13" s="37"/>
      <c r="BN13" s="5"/>
      <c r="BO13" s="58">
        <v>1</v>
      </c>
      <c r="BP13" s="58" t="s">
        <v>3</v>
      </c>
      <c r="BQ13" s="58">
        <v>1</v>
      </c>
      <c r="BR13" s="17">
        <f t="shared" si="13"/>
        <v>0</v>
      </c>
      <c r="BS13" s="37"/>
      <c r="BT13" s="5"/>
      <c r="BU13" s="58">
        <v>1</v>
      </c>
      <c r="BV13" s="58" t="s">
        <v>3</v>
      </c>
      <c r="BW13" s="58">
        <v>3</v>
      </c>
      <c r="BX13" s="17">
        <f t="shared" si="14"/>
        <v>1</v>
      </c>
      <c r="BY13" s="37"/>
      <c r="BZ13" s="5"/>
      <c r="CA13" s="58">
        <v>1</v>
      </c>
      <c r="CB13" s="58" t="s">
        <v>3</v>
      </c>
      <c r="CC13" s="58">
        <v>2</v>
      </c>
      <c r="CD13" s="17">
        <f t="shared" si="3"/>
        <v>1</v>
      </c>
      <c r="CE13" s="37"/>
      <c r="CF13" s="5"/>
      <c r="CG13" s="58">
        <v>1</v>
      </c>
      <c r="CH13" s="58" t="s">
        <v>3</v>
      </c>
      <c r="CI13" s="58">
        <v>1</v>
      </c>
      <c r="CJ13" s="17">
        <f t="shared" si="15"/>
        <v>0</v>
      </c>
      <c r="CK13" s="37"/>
      <c r="CL13" s="5"/>
      <c r="CM13" s="58">
        <v>1</v>
      </c>
      <c r="CN13" s="58" t="s">
        <v>3</v>
      </c>
      <c r="CO13" s="58">
        <v>3</v>
      </c>
      <c r="CP13" s="17">
        <f t="shared" si="16"/>
        <v>1</v>
      </c>
      <c r="CQ13" s="37"/>
      <c r="CR13" s="5"/>
      <c r="CS13" s="58">
        <v>1</v>
      </c>
      <c r="CT13" s="58" t="s">
        <v>3</v>
      </c>
      <c r="CU13" s="58">
        <v>2</v>
      </c>
      <c r="CV13" s="17">
        <f t="shared" si="17"/>
        <v>1</v>
      </c>
      <c r="CW13" s="37"/>
      <c r="CX13" s="5"/>
      <c r="CY13" s="58">
        <v>1</v>
      </c>
      <c r="CZ13" s="58" t="s">
        <v>3</v>
      </c>
      <c r="DA13" s="58">
        <v>2</v>
      </c>
      <c r="DB13" s="17">
        <f t="shared" si="18"/>
        <v>1</v>
      </c>
      <c r="DC13" s="37"/>
      <c r="DD13" s="5"/>
      <c r="DE13" s="58">
        <v>1</v>
      </c>
      <c r="DF13" s="58" t="s">
        <v>3</v>
      </c>
      <c r="DG13" s="58">
        <v>2</v>
      </c>
      <c r="DH13" s="17">
        <f t="shared" si="19"/>
        <v>1</v>
      </c>
      <c r="DI13" s="37"/>
      <c r="DJ13" s="5"/>
      <c r="DK13" s="58">
        <v>1</v>
      </c>
      <c r="DL13" s="58" t="s">
        <v>3</v>
      </c>
      <c r="DM13" s="58">
        <v>1</v>
      </c>
      <c r="DN13" s="17">
        <f t="shared" si="20"/>
        <v>0</v>
      </c>
      <c r="DO13" s="37"/>
      <c r="DP13" s="5"/>
      <c r="DQ13" s="58">
        <v>1</v>
      </c>
      <c r="DR13" s="58" t="s">
        <v>3</v>
      </c>
      <c r="DS13" s="58">
        <v>0</v>
      </c>
      <c r="DT13" s="17">
        <f t="shared" si="21"/>
        <v>0</v>
      </c>
      <c r="DU13" s="37"/>
      <c r="DV13" s="5"/>
      <c r="DW13" s="58">
        <v>1</v>
      </c>
      <c r="DX13" s="58" t="s">
        <v>3</v>
      </c>
      <c r="DY13" s="58">
        <v>2</v>
      </c>
      <c r="DZ13" s="17">
        <f t="shared" si="22"/>
        <v>1</v>
      </c>
      <c r="EA13" s="37"/>
      <c r="EB13" s="5"/>
      <c r="EC13" s="58">
        <v>0</v>
      </c>
      <c r="ED13" s="58" t="s">
        <v>3</v>
      </c>
      <c r="EE13" s="58">
        <v>1</v>
      </c>
      <c r="EF13" s="17">
        <f t="shared" si="23"/>
        <v>1</v>
      </c>
      <c r="EG13" s="37"/>
      <c r="EH13" s="5"/>
      <c r="EI13" s="58">
        <v>1</v>
      </c>
      <c r="EJ13" s="58" t="s">
        <v>3</v>
      </c>
      <c r="EK13" s="58">
        <v>2</v>
      </c>
      <c r="EL13" s="17">
        <f t="shared" si="24"/>
        <v>1</v>
      </c>
      <c r="EM13" s="37"/>
      <c r="EN13" s="5"/>
      <c r="EO13" s="58">
        <v>2</v>
      </c>
      <c r="EP13" s="58" t="s">
        <v>3</v>
      </c>
      <c r="EQ13" s="58">
        <v>0</v>
      </c>
      <c r="ER13" s="17">
        <f t="shared" si="25"/>
        <v>0</v>
      </c>
      <c r="ES13" s="37"/>
      <c r="ET13" s="5"/>
      <c r="EU13" s="58">
        <v>0</v>
      </c>
      <c r="EV13" s="58" t="s">
        <v>3</v>
      </c>
      <c r="EW13" s="58">
        <v>2</v>
      </c>
      <c r="EX13" s="17">
        <f t="shared" si="26"/>
        <v>1</v>
      </c>
      <c r="EY13" s="37"/>
      <c r="EZ13" s="5"/>
      <c r="FA13" s="58">
        <v>1</v>
      </c>
      <c r="FB13" s="58" t="s">
        <v>3</v>
      </c>
      <c r="FC13" s="58">
        <v>1</v>
      </c>
      <c r="FD13" s="17">
        <f t="shared" si="27"/>
        <v>0</v>
      </c>
      <c r="FE13" s="37"/>
      <c r="FF13" s="5"/>
      <c r="FG13" s="58">
        <v>0</v>
      </c>
      <c r="FH13" s="58" t="s">
        <v>3</v>
      </c>
      <c r="FI13" s="58">
        <v>1</v>
      </c>
      <c r="FJ13" s="17">
        <f t="shared" si="28"/>
        <v>1</v>
      </c>
      <c r="FK13" s="37"/>
      <c r="FL13" s="5"/>
      <c r="FM13" s="58">
        <v>1</v>
      </c>
      <c r="FN13" s="58" t="s">
        <v>3</v>
      </c>
      <c r="FO13" s="58">
        <v>2</v>
      </c>
      <c r="FP13" s="17">
        <f t="shared" si="29"/>
        <v>1</v>
      </c>
      <c r="FQ13" s="37"/>
      <c r="FR13" s="5"/>
      <c r="FS13" s="58">
        <v>0</v>
      </c>
      <c r="FT13" s="58" t="s">
        <v>3</v>
      </c>
      <c r="FU13" s="58">
        <v>0</v>
      </c>
      <c r="FV13" s="17">
        <f t="shared" si="30"/>
        <v>0</v>
      </c>
      <c r="FW13" s="37"/>
      <c r="FX13" s="5"/>
      <c r="FY13" s="58">
        <v>3</v>
      </c>
      <c r="FZ13" s="58" t="s">
        <v>3</v>
      </c>
      <c r="GA13" s="58">
        <v>3</v>
      </c>
      <c r="GB13" s="17">
        <f t="shared" si="31"/>
        <v>0</v>
      </c>
      <c r="GC13" s="37"/>
      <c r="GD13" s="5"/>
      <c r="GE13" s="58">
        <v>1</v>
      </c>
      <c r="GF13" s="58" t="s">
        <v>3</v>
      </c>
      <c r="GG13" s="58">
        <v>1</v>
      </c>
      <c r="GH13" s="17">
        <f t="shared" si="32"/>
        <v>0</v>
      </c>
      <c r="GI13" s="37"/>
      <c r="GJ13" s="5"/>
      <c r="GK13" s="58">
        <v>1</v>
      </c>
      <c r="GL13" s="58" t="s">
        <v>3</v>
      </c>
      <c r="GM13" s="58">
        <v>2</v>
      </c>
      <c r="GN13" s="17">
        <f t="shared" si="33"/>
        <v>1</v>
      </c>
      <c r="GO13" s="37"/>
      <c r="GP13" s="5"/>
      <c r="GQ13" s="58">
        <v>1</v>
      </c>
      <c r="GR13" s="58" t="s">
        <v>3</v>
      </c>
      <c r="GS13" s="58">
        <v>2</v>
      </c>
      <c r="GT13" s="17">
        <f t="shared" si="34"/>
        <v>1</v>
      </c>
      <c r="GU13" s="37"/>
      <c r="GV13" s="5"/>
    </row>
    <row r="14" spans="1:204" ht="18.75" thickBot="1" x14ac:dyDescent="0.3">
      <c r="A14" s="62" t="s">
        <v>109</v>
      </c>
      <c r="B14" s="77" t="s">
        <v>92</v>
      </c>
      <c r="C14" s="78" t="s">
        <v>3</v>
      </c>
      <c r="D14" s="79" t="s">
        <v>96</v>
      </c>
      <c r="E14" s="54">
        <v>2</v>
      </c>
      <c r="F14" s="55" t="s">
        <v>3</v>
      </c>
      <c r="G14" s="55">
        <v>0</v>
      </c>
      <c r="I14" s="49">
        <f t="shared" si="0"/>
        <v>10</v>
      </c>
      <c r="J14" s="49">
        <f t="shared" si="1"/>
        <v>4</v>
      </c>
      <c r="K14" s="49">
        <f t="shared" si="2"/>
        <v>16</v>
      </c>
      <c r="L14" s="5"/>
      <c r="M14" s="58">
        <v>2</v>
      </c>
      <c r="N14" s="58" t="s">
        <v>3</v>
      </c>
      <c r="O14" s="58">
        <v>0</v>
      </c>
      <c r="P14" s="17">
        <f t="shared" si="4"/>
        <v>3</v>
      </c>
      <c r="Q14" s="35"/>
      <c r="R14" s="5"/>
      <c r="S14" s="58">
        <v>2</v>
      </c>
      <c r="T14" s="58" t="s">
        <v>3</v>
      </c>
      <c r="U14" s="58">
        <v>0</v>
      </c>
      <c r="V14" s="17">
        <f t="shared" si="5"/>
        <v>3</v>
      </c>
      <c r="W14" s="37"/>
      <c r="X14" s="5"/>
      <c r="Y14" s="58">
        <v>2</v>
      </c>
      <c r="Z14" s="58" t="s">
        <v>3</v>
      </c>
      <c r="AA14" s="58">
        <v>1</v>
      </c>
      <c r="AB14" s="17">
        <f t="shared" si="6"/>
        <v>1</v>
      </c>
      <c r="AC14" s="37"/>
      <c r="AD14" s="5"/>
      <c r="AE14" s="58">
        <v>2</v>
      </c>
      <c r="AF14" s="58" t="s">
        <v>3</v>
      </c>
      <c r="AG14" s="58">
        <v>1</v>
      </c>
      <c r="AH14" s="17">
        <f t="shared" si="7"/>
        <v>1</v>
      </c>
      <c r="AI14" s="37"/>
      <c r="AJ14" s="5"/>
      <c r="AK14" s="58">
        <v>2</v>
      </c>
      <c r="AL14" s="58" t="s">
        <v>3</v>
      </c>
      <c r="AM14" s="58">
        <v>1</v>
      </c>
      <c r="AN14" s="17">
        <f t="shared" si="8"/>
        <v>1</v>
      </c>
      <c r="AO14" s="37"/>
      <c r="AP14" s="5"/>
      <c r="AQ14" s="58">
        <v>2</v>
      </c>
      <c r="AR14" s="58" t="s">
        <v>3</v>
      </c>
      <c r="AS14" s="58">
        <v>0</v>
      </c>
      <c r="AT14" s="17">
        <f t="shared" si="9"/>
        <v>3</v>
      </c>
      <c r="AU14" s="37"/>
      <c r="AV14" s="5"/>
      <c r="AW14" s="58">
        <v>2</v>
      </c>
      <c r="AX14" s="58" t="s">
        <v>3</v>
      </c>
      <c r="AY14" s="58">
        <v>1</v>
      </c>
      <c r="AZ14" s="17">
        <f t="shared" si="10"/>
        <v>1</v>
      </c>
      <c r="BA14" s="37"/>
      <c r="BB14" s="5"/>
      <c r="BC14" s="58">
        <v>2</v>
      </c>
      <c r="BD14" s="58" t="s">
        <v>3</v>
      </c>
      <c r="BE14" s="58">
        <v>1</v>
      </c>
      <c r="BF14" s="17">
        <f t="shared" si="11"/>
        <v>1</v>
      </c>
      <c r="BG14" s="37"/>
      <c r="BH14" s="5"/>
      <c r="BI14" s="58">
        <v>3</v>
      </c>
      <c r="BJ14" s="58" t="s">
        <v>3</v>
      </c>
      <c r="BK14" s="58">
        <v>1</v>
      </c>
      <c r="BL14" s="17">
        <f t="shared" si="12"/>
        <v>2</v>
      </c>
      <c r="BM14" s="37"/>
      <c r="BN14" s="5"/>
      <c r="BO14" s="58">
        <v>2</v>
      </c>
      <c r="BP14" s="58" t="s">
        <v>3</v>
      </c>
      <c r="BQ14" s="58">
        <v>0</v>
      </c>
      <c r="BR14" s="17">
        <f t="shared" si="13"/>
        <v>3</v>
      </c>
      <c r="BS14" s="37"/>
      <c r="BT14" s="5"/>
      <c r="BU14" s="58">
        <v>2</v>
      </c>
      <c r="BV14" s="58" t="s">
        <v>3</v>
      </c>
      <c r="BW14" s="58">
        <v>0</v>
      </c>
      <c r="BX14" s="17">
        <f t="shared" si="14"/>
        <v>3</v>
      </c>
      <c r="BY14" s="37"/>
      <c r="BZ14" s="5"/>
      <c r="CA14" s="58">
        <v>2</v>
      </c>
      <c r="CB14" s="58" t="s">
        <v>3</v>
      </c>
      <c r="CC14" s="58">
        <v>1</v>
      </c>
      <c r="CD14" s="17">
        <f t="shared" si="3"/>
        <v>1</v>
      </c>
      <c r="CE14" s="37"/>
      <c r="CF14" s="5"/>
      <c r="CG14" s="58">
        <v>2</v>
      </c>
      <c r="CH14" s="58" t="s">
        <v>3</v>
      </c>
      <c r="CI14" s="58">
        <v>0</v>
      </c>
      <c r="CJ14" s="17">
        <f t="shared" si="15"/>
        <v>3</v>
      </c>
      <c r="CK14" s="37"/>
      <c r="CL14" s="5"/>
      <c r="CM14" s="58">
        <v>2</v>
      </c>
      <c r="CN14" s="58" t="s">
        <v>3</v>
      </c>
      <c r="CO14" s="58">
        <v>1</v>
      </c>
      <c r="CP14" s="17">
        <f t="shared" si="16"/>
        <v>1</v>
      </c>
      <c r="CQ14" s="37"/>
      <c r="CR14" s="5"/>
      <c r="CS14" s="58">
        <v>2</v>
      </c>
      <c r="CT14" s="58" t="s">
        <v>3</v>
      </c>
      <c r="CU14" s="58">
        <v>1</v>
      </c>
      <c r="CV14" s="17">
        <f t="shared" si="17"/>
        <v>1</v>
      </c>
      <c r="CW14" s="37"/>
      <c r="CX14" s="5"/>
      <c r="CY14" s="58">
        <v>3</v>
      </c>
      <c r="CZ14" s="58" t="s">
        <v>3</v>
      </c>
      <c r="DA14" s="58">
        <v>1</v>
      </c>
      <c r="DB14" s="17">
        <f t="shared" si="18"/>
        <v>2</v>
      </c>
      <c r="DC14" s="37"/>
      <c r="DD14" s="5"/>
      <c r="DE14" s="58">
        <v>2</v>
      </c>
      <c r="DF14" s="58" t="s">
        <v>3</v>
      </c>
      <c r="DG14" s="58">
        <v>2</v>
      </c>
      <c r="DH14" s="17">
        <f t="shared" si="19"/>
        <v>0</v>
      </c>
      <c r="DI14" s="37"/>
      <c r="DJ14" s="5"/>
      <c r="DK14" s="58">
        <v>3</v>
      </c>
      <c r="DL14" s="58" t="s">
        <v>3</v>
      </c>
      <c r="DM14" s="58">
        <v>1</v>
      </c>
      <c r="DN14" s="17">
        <f t="shared" si="20"/>
        <v>2</v>
      </c>
      <c r="DO14" s="37"/>
      <c r="DP14" s="5"/>
      <c r="DQ14" s="58">
        <v>3</v>
      </c>
      <c r="DR14" s="58" t="s">
        <v>3</v>
      </c>
      <c r="DS14" s="58">
        <v>1</v>
      </c>
      <c r="DT14" s="17">
        <f t="shared" si="21"/>
        <v>2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1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1</v>
      </c>
      <c r="EG14" s="37"/>
      <c r="EH14" s="5"/>
      <c r="EI14" s="58">
        <v>2</v>
      </c>
      <c r="EJ14" s="58" t="s">
        <v>3</v>
      </c>
      <c r="EK14" s="58">
        <v>0</v>
      </c>
      <c r="EL14" s="17">
        <f t="shared" si="24"/>
        <v>3</v>
      </c>
      <c r="EM14" s="37"/>
      <c r="EN14" s="5"/>
      <c r="EO14" s="58">
        <v>1</v>
      </c>
      <c r="EP14" s="58" t="s">
        <v>3</v>
      </c>
      <c r="EQ14" s="58">
        <v>0</v>
      </c>
      <c r="ER14" s="17">
        <f t="shared" si="25"/>
        <v>1</v>
      </c>
      <c r="ES14" s="37"/>
      <c r="ET14" s="5"/>
      <c r="EU14" s="58">
        <v>3</v>
      </c>
      <c r="EV14" s="58" t="s">
        <v>3</v>
      </c>
      <c r="EW14" s="58">
        <v>0</v>
      </c>
      <c r="EX14" s="17">
        <f t="shared" si="26"/>
        <v>1</v>
      </c>
      <c r="EY14" s="37"/>
      <c r="EZ14" s="5"/>
      <c r="FA14" s="58">
        <v>2</v>
      </c>
      <c r="FB14" s="58" t="s">
        <v>3</v>
      </c>
      <c r="FC14" s="58">
        <v>1</v>
      </c>
      <c r="FD14" s="17">
        <f t="shared" si="27"/>
        <v>1</v>
      </c>
      <c r="FE14" s="37"/>
      <c r="FF14" s="5"/>
      <c r="FG14" s="58">
        <v>2</v>
      </c>
      <c r="FH14" s="58" t="s">
        <v>3</v>
      </c>
      <c r="FI14" s="58">
        <v>1</v>
      </c>
      <c r="FJ14" s="17">
        <f t="shared" si="28"/>
        <v>1</v>
      </c>
      <c r="FK14" s="37"/>
      <c r="FL14" s="5"/>
      <c r="FM14" s="58">
        <v>2</v>
      </c>
      <c r="FN14" s="58" t="s">
        <v>3</v>
      </c>
      <c r="FO14" s="58">
        <v>0</v>
      </c>
      <c r="FP14" s="17">
        <f t="shared" si="29"/>
        <v>3</v>
      </c>
      <c r="FQ14" s="37"/>
      <c r="FR14" s="5"/>
      <c r="FS14" s="58">
        <v>2</v>
      </c>
      <c r="FT14" s="58" t="s">
        <v>3</v>
      </c>
      <c r="FU14" s="58">
        <v>0</v>
      </c>
      <c r="FV14" s="17">
        <f t="shared" si="30"/>
        <v>3</v>
      </c>
      <c r="FW14" s="37"/>
      <c r="FX14" s="5"/>
      <c r="FY14" s="58">
        <v>2</v>
      </c>
      <c r="FZ14" s="58" t="s">
        <v>3</v>
      </c>
      <c r="GA14" s="58">
        <v>1</v>
      </c>
      <c r="GB14" s="17">
        <f t="shared" si="31"/>
        <v>1</v>
      </c>
      <c r="GC14" s="37"/>
      <c r="GD14" s="5"/>
      <c r="GE14" s="58">
        <v>1</v>
      </c>
      <c r="GF14" s="58" t="s">
        <v>3</v>
      </c>
      <c r="GG14" s="58">
        <v>2</v>
      </c>
      <c r="GH14" s="17">
        <f t="shared" si="32"/>
        <v>0</v>
      </c>
      <c r="GI14" s="37"/>
      <c r="GJ14" s="5"/>
      <c r="GK14" s="58">
        <v>2</v>
      </c>
      <c r="GL14" s="58" t="s">
        <v>3</v>
      </c>
      <c r="GM14" s="58">
        <v>1</v>
      </c>
      <c r="GN14" s="17">
        <f t="shared" si="33"/>
        <v>1</v>
      </c>
      <c r="GO14" s="37"/>
      <c r="GP14" s="5"/>
      <c r="GQ14" s="58">
        <v>2</v>
      </c>
      <c r="GR14" s="58" t="s">
        <v>3</v>
      </c>
      <c r="GS14" s="58">
        <v>0</v>
      </c>
      <c r="GT14" s="17">
        <f t="shared" si="34"/>
        <v>3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B16" s="9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115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109</v>
      </c>
      <c r="B18" s="70" t="s">
        <v>79</v>
      </c>
      <c r="C18" s="78" t="s">
        <v>3</v>
      </c>
      <c r="D18" s="70" t="s">
        <v>73</v>
      </c>
      <c r="E18" s="54">
        <v>4</v>
      </c>
      <c r="F18" s="55" t="s">
        <v>3</v>
      </c>
      <c r="G18" s="55">
        <v>1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0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0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26</v>
      </c>
      <c r="L18" s="5"/>
      <c r="M18" s="2">
        <v>1</v>
      </c>
      <c r="N18" s="58" t="s">
        <v>3</v>
      </c>
      <c r="O18" s="2">
        <v>0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1</v>
      </c>
      <c r="Q18" s="35"/>
      <c r="R18" s="5"/>
      <c r="S18" s="2">
        <v>2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1</v>
      </c>
      <c r="W18" s="37"/>
      <c r="X18" s="5"/>
      <c r="Y18" s="2">
        <v>2</v>
      </c>
      <c r="Z18" s="58" t="s">
        <v>3</v>
      </c>
      <c r="AA18" s="2">
        <v>2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0</v>
      </c>
      <c r="AC18" s="37"/>
      <c r="AD18" s="5"/>
      <c r="AE18" s="2">
        <v>2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1</v>
      </c>
      <c r="AI18" s="37"/>
      <c r="AJ18" s="5"/>
      <c r="AK18" s="2">
        <v>2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1</v>
      </c>
      <c r="AO18" s="37"/>
      <c r="AP18" s="5"/>
      <c r="AQ18" s="2">
        <v>2</v>
      </c>
      <c r="AR18" s="58" t="s">
        <v>3</v>
      </c>
      <c r="AS18" s="2">
        <v>1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1</v>
      </c>
      <c r="AU18" s="37"/>
      <c r="AV18" s="5"/>
      <c r="AW18" s="2">
        <v>1</v>
      </c>
      <c r="AX18" s="58" t="s">
        <v>3</v>
      </c>
      <c r="AY18" s="2">
        <v>0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1</v>
      </c>
      <c r="BA18" s="37"/>
      <c r="BB18" s="5"/>
      <c r="BC18" s="2">
        <v>2</v>
      </c>
      <c r="BD18" s="58" t="s">
        <v>3</v>
      </c>
      <c r="BE18" s="2">
        <v>1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1</v>
      </c>
      <c r="BG18" s="37"/>
      <c r="BH18" s="5"/>
      <c r="BI18" s="2">
        <v>2</v>
      </c>
      <c r="BJ18" s="58" t="s">
        <v>3</v>
      </c>
      <c r="BK18" s="2">
        <v>0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1</v>
      </c>
      <c r="BM18" s="37"/>
      <c r="BN18" s="5"/>
      <c r="BO18" s="2">
        <v>2</v>
      </c>
      <c r="BP18" s="58" t="s">
        <v>3</v>
      </c>
      <c r="BQ18" s="2">
        <v>1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1</v>
      </c>
      <c r="BS18" s="37"/>
      <c r="BT18" s="5"/>
      <c r="BU18" s="2">
        <v>2</v>
      </c>
      <c r="BV18" s="58" t="s">
        <v>3</v>
      </c>
      <c r="BW18" s="2">
        <v>1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1</v>
      </c>
      <c r="BY18" s="37"/>
      <c r="BZ18" s="5"/>
      <c r="CA18" s="2">
        <v>2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1</v>
      </c>
      <c r="CE18" s="37"/>
      <c r="CF18" s="5"/>
      <c r="CG18" s="2">
        <v>1</v>
      </c>
      <c r="CH18" s="58" t="s">
        <v>3</v>
      </c>
      <c r="CI18" s="2">
        <v>0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1</v>
      </c>
      <c r="CK18" s="37"/>
      <c r="CL18" s="5"/>
      <c r="CM18" s="2">
        <v>2</v>
      </c>
      <c r="CN18" s="58" t="s">
        <v>3</v>
      </c>
      <c r="CO18" s="2">
        <v>1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1</v>
      </c>
      <c r="CQ18" s="37"/>
      <c r="CR18" s="5"/>
      <c r="CS18" s="2">
        <v>1</v>
      </c>
      <c r="CT18" s="58" t="s">
        <v>3</v>
      </c>
      <c r="CU18" s="2">
        <v>2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0</v>
      </c>
      <c r="CW18" s="37"/>
      <c r="CX18" s="5"/>
      <c r="CY18" s="2">
        <v>2</v>
      </c>
      <c r="CZ18" s="58" t="s">
        <v>3</v>
      </c>
      <c r="DA18" s="2">
        <v>1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1</v>
      </c>
      <c r="DC18" s="37"/>
      <c r="DD18" s="5"/>
      <c r="DE18" s="2">
        <v>2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1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1</v>
      </c>
      <c r="DO18" s="37"/>
      <c r="DP18" s="5"/>
      <c r="DQ18" s="2">
        <v>2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1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1</v>
      </c>
      <c r="EA18" s="37"/>
      <c r="EB18" s="5"/>
      <c r="EC18" s="2">
        <v>1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0</v>
      </c>
      <c r="EG18" s="37"/>
      <c r="EH18" s="5"/>
      <c r="EI18" s="2">
        <v>2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1</v>
      </c>
      <c r="EM18" s="37"/>
      <c r="EN18" s="5"/>
      <c r="EO18" s="2">
        <v>2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1</v>
      </c>
      <c r="ES18" s="37"/>
      <c r="ET18" s="5"/>
      <c r="EU18" s="2">
        <v>3</v>
      </c>
      <c r="EV18" s="58" t="s">
        <v>3</v>
      </c>
      <c r="EW18" s="2">
        <v>1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1</v>
      </c>
      <c r="EY18" s="37"/>
      <c r="EZ18" s="5"/>
      <c r="FA18" s="2">
        <v>2</v>
      </c>
      <c r="FB18" s="58" t="s">
        <v>3</v>
      </c>
      <c r="FC18" s="2">
        <v>0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1</v>
      </c>
      <c r="FE18" s="37"/>
      <c r="FF18" s="5"/>
      <c r="FG18" s="2">
        <v>1</v>
      </c>
      <c r="FH18" s="58" t="s">
        <v>3</v>
      </c>
      <c r="FI18" s="2">
        <v>1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0</v>
      </c>
      <c r="FK18" s="37"/>
      <c r="FL18" s="5"/>
      <c r="FM18" s="2">
        <v>1</v>
      </c>
      <c r="FN18" s="58" t="s">
        <v>3</v>
      </c>
      <c r="FO18" s="2">
        <v>1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0</v>
      </c>
      <c r="FQ18" s="37"/>
      <c r="FR18" s="5"/>
      <c r="FS18" s="2">
        <v>2</v>
      </c>
      <c r="FT18" s="58" t="s">
        <v>3</v>
      </c>
      <c r="FU18" s="2">
        <v>1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1</v>
      </c>
      <c r="FW18" s="37"/>
      <c r="FX18" s="5"/>
      <c r="FY18" s="2">
        <v>2</v>
      </c>
      <c r="FZ18" s="58" t="s">
        <v>3</v>
      </c>
      <c r="GA18" s="2">
        <v>1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1</v>
      </c>
      <c r="GC18" s="37"/>
      <c r="GD18" s="5"/>
      <c r="GE18" s="2">
        <v>2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1</v>
      </c>
      <c r="GI18" s="37"/>
      <c r="GJ18" s="5"/>
      <c r="GK18" s="2">
        <v>1</v>
      </c>
      <c r="GL18" s="58" t="s">
        <v>3</v>
      </c>
      <c r="GM18" s="2">
        <v>1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0</v>
      </c>
      <c r="GO18" s="37"/>
      <c r="GP18" s="5"/>
      <c r="GQ18" s="2">
        <v>2</v>
      </c>
      <c r="GR18" s="58" t="s">
        <v>3</v>
      </c>
      <c r="GS18" s="2">
        <v>1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1</v>
      </c>
      <c r="GU18" s="37"/>
      <c r="GV18" s="5"/>
    </row>
    <row r="19" spans="1:204" ht="18" x14ac:dyDescent="0.25">
      <c r="A19" s="62" t="s">
        <v>111</v>
      </c>
      <c r="B19" s="70" t="s">
        <v>86</v>
      </c>
      <c r="C19" s="78" t="s">
        <v>3</v>
      </c>
      <c r="D19" s="70" t="s">
        <v>87</v>
      </c>
      <c r="E19" s="54">
        <v>1</v>
      </c>
      <c r="F19" s="55" t="s">
        <v>3</v>
      </c>
      <c r="G19" s="55">
        <v>2</v>
      </c>
      <c r="I19" s="49">
        <f t="shared" si="35"/>
        <v>0</v>
      </c>
      <c r="J19" s="49">
        <f t="shared" si="36"/>
        <v>0</v>
      </c>
      <c r="K19" s="49">
        <f t="shared" si="37"/>
        <v>0</v>
      </c>
      <c r="L19" s="6"/>
      <c r="M19" s="2">
        <v>2</v>
      </c>
      <c r="N19" s="58" t="s">
        <v>3</v>
      </c>
      <c r="O19" s="2">
        <v>0</v>
      </c>
      <c r="P19" s="17">
        <f t="shared" si="38"/>
        <v>0</v>
      </c>
      <c r="Q19" s="35"/>
      <c r="R19" s="6"/>
      <c r="S19" s="2">
        <v>2</v>
      </c>
      <c r="T19" s="58" t="s">
        <v>3</v>
      </c>
      <c r="U19" s="2">
        <v>0</v>
      </c>
      <c r="V19" s="17">
        <f t="shared" si="39"/>
        <v>0</v>
      </c>
      <c r="W19" s="37"/>
      <c r="X19" s="6"/>
      <c r="Y19" s="2">
        <v>3</v>
      </c>
      <c r="Z19" s="58" t="s">
        <v>3</v>
      </c>
      <c r="AA19" s="2">
        <v>1</v>
      </c>
      <c r="AB19" s="17">
        <f t="shared" si="40"/>
        <v>0</v>
      </c>
      <c r="AC19" s="37"/>
      <c r="AD19" s="6"/>
      <c r="AE19" s="2">
        <v>2</v>
      </c>
      <c r="AF19" s="58" t="s">
        <v>3</v>
      </c>
      <c r="AG19" s="2">
        <v>1</v>
      </c>
      <c r="AH19" s="17">
        <f t="shared" si="41"/>
        <v>0</v>
      </c>
      <c r="AI19" s="37"/>
      <c r="AJ19" s="6"/>
      <c r="AK19" s="2">
        <v>2</v>
      </c>
      <c r="AL19" s="58" t="s">
        <v>3</v>
      </c>
      <c r="AM19" s="2">
        <v>1</v>
      </c>
      <c r="AN19" s="17">
        <f t="shared" si="42"/>
        <v>0</v>
      </c>
      <c r="AO19" s="37"/>
      <c r="AP19" s="6"/>
      <c r="AQ19" s="2">
        <v>2</v>
      </c>
      <c r="AR19" s="58" t="s">
        <v>3</v>
      </c>
      <c r="AS19" s="2">
        <v>0</v>
      </c>
      <c r="AT19" s="17">
        <f t="shared" si="43"/>
        <v>0</v>
      </c>
      <c r="AU19" s="37"/>
      <c r="AV19" s="6"/>
      <c r="AW19" s="2">
        <v>2</v>
      </c>
      <c r="AX19" s="58" t="s">
        <v>3</v>
      </c>
      <c r="AY19" s="2">
        <v>0</v>
      </c>
      <c r="AZ19" s="17">
        <f t="shared" si="44"/>
        <v>0</v>
      </c>
      <c r="BA19" s="37"/>
      <c r="BB19" s="6"/>
      <c r="BC19" s="2">
        <v>1</v>
      </c>
      <c r="BD19" s="58" t="s">
        <v>3</v>
      </c>
      <c r="BE19" s="2">
        <v>1</v>
      </c>
      <c r="BF19" s="17">
        <f t="shared" si="45"/>
        <v>0</v>
      </c>
      <c r="BG19" s="37"/>
      <c r="BH19" s="6"/>
      <c r="BI19" s="2">
        <v>3</v>
      </c>
      <c r="BJ19" s="58" t="s">
        <v>3</v>
      </c>
      <c r="BK19" s="2">
        <v>1</v>
      </c>
      <c r="BL19" s="17">
        <f t="shared" si="46"/>
        <v>0</v>
      </c>
      <c r="BM19" s="37"/>
      <c r="BN19" s="6"/>
      <c r="BO19" s="2">
        <v>2</v>
      </c>
      <c r="BP19" s="58" t="s">
        <v>3</v>
      </c>
      <c r="BQ19" s="2">
        <v>0</v>
      </c>
      <c r="BR19" s="17">
        <f t="shared" si="47"/>
        <v>0</v>
      </c>
      <c r="BS19" s="37"/>
      <c r="BT19" s="6"/>
      <c r="BU19" s="2">
        <v>3</v>
      </c>
      <c r="BV19" s="58" t="s">
        <v>3</v>
      </c>
      <c r="BW19" s="2">
        <v>1</v>
      </c>
      <c r="BX19" s="17">
        <f t="shared" si="48"/>
        <v>0</v>
      </c>
      <c r="BY19" s="37"/>
      <c r="BZ19" s="6"/>
      <c r="CA19" s="2">
        <v>1</v>
      </c>
      <c r="CB19" s="58" t="s">
        <v>3</v>
      </c>
      <c r="CC19" s="2">
        <v>0</v>
      </c>
      <c r="CD19" s="17">
        <f t="shared" si="49"/>
        <v>0</v>
      </c>
      <c r="CE19" s="37"/>
      <c r="CF19" s="6"/>
      <c r="CG19" s="2">
        <v>2</v>
      </c>
      <c r="CH19" s="58" t="s">
        <v>3</v>
      </c>
      <c r="CI19" s="2">
        <v>0</v>
      </c>
      <c r="CJ19" s="17">
        <f t="shared" si="50"/>
        <v>0</v>
      </c>
      <c r="CK19" s="37"/>
      <c r="CL19" s="6"/>
      <c r="CM19" s="2">
        <v>2</v>
      </c>
      <c r="CN19" s="58" t="s">
        <v>3</v>
      </c>
      <c r="CO19" s="2">
        <v>1</v>
      </c>
      <c r="CP19" s="17">
        <f t="shared" si="51"/>
        <v>0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0</v>
      </c>
      <c r="CW19" s="37"/>
      <c r="CX19" s="6"/>
      <c r="CY19" s="2">
        <v>3</v>
      </c>
      <c r="CZ19" s="58" t="s">
        <v>3</v>
      </c>
      <c r="DA19" s="2">
        <v>1</v>
      </c>
      <c r="DB19" s="17">
        <f t="shared" si="53"/>
        <v>0</v>
      </c>
      <c r="DC19" s="37"/>
      <c r="DD19" s="6"/>
      <c r="DE19" s="2">
        <v>2</v>
      </c>
      <c r="DF19" s="58" t="s">
        <v>3</v>
      </c>
      <c r="DG19" s="2">
        <v>0</v>
      </c>
      <c r="DH19" s="17">
        <f t="shared" si="54"/>
        <v>0</v>
      </c>
      <c r="DI19" s="37"/>
      <c r="DJ19" s="6"/>
      <c r="DK19" s="2">
        <v>2</v>
      </c>
      <c r="DL19" s="58" t="s">
        <v>3</v>
      </c>
      <c r="DM19" s="2">
        <v>0</v>
      </c>
      <c r="DN19" s="17">
        <f t="shared" si="55"/>
        <v>0</v>
      </c>
      <c r="DO19" s="37"/>
      <c r="DP19" s="6"/>
      <c r="DQ19" s="2">
        <v>3</v>
      </c>
      <c r="DR19" s="58" t="s">
        <v>3</v>
      </c>
      <c r="DS19" s="2">
        <v>2</v>
      </c>
      <c r="DT19" s="17">
        <f t="shared" si="56"/>
        <v>0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0</v>
      </c>
      <c r="EA19" s="37"/>
      <c r="EB19" s="6"/>
      <c r="EC19" s="2">
        <v>2</v>
      </c>
      <c r="ED19" s="58" t="s">
        <v>3</v>
      </c>
      <c r="EE19" s="2">
        <v>1</v>
      </c>
      <c r="EF19" s="17">
        <f t="shared" si="58"/>
        <v>0</v>
      </c>
      <c r="EG19" s="37"/>
      <c r="EH19" s="6"/>
      <c r="EI19" s="2">
        <v>2</v>
      </c>
      <c r="EJ19" s="58" t="s">
        <v>3</v>
      </c>
      <c r="EK19" s="2">
        <v>1</v>
      </c>
      <c r="EL19" s="17">
        <f t="shared" si="59"/>
        <v>0</v>
      </c>
      <c r="EM19" s="37"/>
      <c r="EN19" s="6"/>
      <c r="EO19" s="2">
        <v>2</v>
      </c>
      <c r="EP19" s="58" t="s">
        <v>3</v>
      </c>
      <c r="EQ19" s="2">
        <v>1</v>
      </c>
      <c r="ER19" s="17">
        <f t="shared" si="60"/>
        <v>0</v>
      </c>
      <c r="ES19" s="37"/>
      <c r="ET19" s="6"/>
      <c r="EU19" s="2">
        <v>2</v>
      </c>
      <c r="EV19" s="58" t="s">
        <v>3</v>
      </c>
      <c r="EW19" s="2">
        <v>0</v>
      </c>
      <c r="EX19" s="17">
        <f t="shared" si="61"/>
        <v>0</v>
      </c>
      <c r="EY19" s="37"/>
      <c r="EZ19" s="6"/>
      <c r="FA19" s="2">
        <v>3</v>
      </c>
      <c r="FB19" s="58" t="s">
        <v>3</v>
      </c>
      <c r="FC19" s="2">
        <v>2</v>
      </c>
      <c r="FD19" s="17">
        <f t="shared" si="62"/>
        <v>0</v>
      </c>
      <c r="FE19" s="37"/>
      <c r="FF19" s="6"/>
      <c r="FG19" s="2">
        <v>2</v>
      </c>
      <c r="FH19" s="58" t="s">
        <v>3</v>
      </c>
      <c r="FI19" s="2">
        <v>1</v>
      </c>
      <c r="FJ19" s="17">
        <f t="shared" si="63"/>
        <v>0</v>
      </c>
      <c r="FK19" s="37"/>
      <c r="FL19" s="6"/>
      <c r="FM19" s="2">
        <v>2</v>
      </c>
      <c r="FN19" s="58" t="s">
        <v>3</v>
      </c>
      <c r="FO19" s="2">
        <v>0</v>
      </c>
      <c r="FP19" s="17">
        <f t="shared" si="64"/>
        <v>0</v>
      </c>
      <c r="FQ19" s="37"/>
      <c r="FR19" s="6"/>
      <c r="FS19" s="2">
        <v>2</v>
      </c>
      <c r="FT19" s="58" t="s">
        <v>3</v>
      </c>
      <c r="FU19" s="2">
        <v>1</v>
      </c>
      <c r="FV19" s="17">
        <f t="shared" si="65"/>
        <v>0</v>
      </c>
      <c r="FW19" s="37"/>
      <c r="FX19" s="6"/>
      <c r="FY19" s="2">
        <v>2</v>
      </c>
      <c r="FZ19" s="58" t="s">
        <v>3</v>
      </c>
      <c r="GA19" s="2">
        <v>1</v>
      </c>
      <c r="GB19" s="17">
        <f t="shared" si="66"/>
        <v>0</v>
      </c>
      <c r="GC19" s="37"/>
      <c r="GD19" s="6"/>
      <c r="GE19" s="2">
        <v>1</v>
      </c>
      <c r="GF19" s="58" t="s">
        <v>3</v>
      </c>
      <c r="GG19" s="2">
        <v>1</v>
      </c>
      <c r="GH19" s="17">
        <f t="shared" si="67"/>
        <v>0</v>
      </c>
      <c r="GI19" s="37"/>
      <c r="GJ19" s="6"/>
      <c r="GK19" s="2">
        <v>2</v>
      </c>
      <c r="GL19" s="58" t="s">
        <v>3</v>
      </c>
      <c r="GM19" s="2">
        <v>0</v>
      </c>
      <c r="GN19" s="17">
        <f t="shared" si="68"/>
        <v>0</v>
      </c>
      <c r="GO19" s="37"/>
      <c r="GP19" s="6"/>
      <c r="GQ19" s="2">
        <v>2</v>
      </c>
      <c r="GR19" s="58" t="s">
        <v>3</v>
      </c>
      <c r="GS19" s="2">
        <v>1</v>
      </c>
      <c r="GT19" s="17">
        <f t="shared" si="69"/>
        <v>0</v>
      </c>
      <c r="GU19" s="37"/>
      <c r="GV19" s="6"/>
    </row>
    <row r="20" spans="1:204" ht="18" x14ac:dyDescent="0.25">
      <c r="A20" s="62" t="s">
        <v>111</v>
      </c>
      <c r="B20" s="70" t="s">
        <v>84</v>
      </c>
      <c r="C20" s="78" t="s">
        <v>3</v>
      </c>
      <c r="D20" s="70" t="s">
        <v>88</v>
      </c>
      <c r="E20" s="54">
        <v>1</v>
      </c>
      <c r="F20" s="55" t="s">
        <v>3</v>
      </c>
      <c r="G20" s="55">
        <v>0</v>
      </c>
      <c r="I20" s="49">
        <f t="shared" si="35"/>
        <v>2</v>
      </c>
      <c r="J20" s="49">
        <f t="shared" si="36"/>
        <v>11</v>
      </c>
      <c r="K20" s="49">
        <f t="shared" si="37"/>
        <v>15</v>
      </c>
      <c r="L20" s="5"/>
      <c r="M20" s="2">
        <v>2</v>
      </c>
      <c r="N20" s="58" t="s">
        <v>3</v>
      </c>
      <c r="O20" s="2">
        <v>0</v>
      </c>
      <c r="P20" s="17">
        <f t="shared" si="38"/>
        <v>1</v>
      </c>
      <c r="Q20" s="35"/>
      <c r="R20" s="5"/>
      <c r="S20" s="2">
        <v>2</v>
      </c>
      <c r="T20" s="58" t="s">
        <v>3</v>
      </c>
      <c r="U20" s="2">
        <v>0</v>
      </c>
      <c r="V20" s="17">
        <f t="shared" si="39"/>
        <v>1</v>
      </c>
      <c r="W20" s="37"/>
      <c r="X20" s="5"/>
      <c r="Y20" s="2">
        <v>1</v>
      </c>
      <c r="Z20" s="58" t="s">
        <v>3</v>
      </c>
      <c r="AA20" s="2">
        <v>1</v>
      </c>
      <c r="AB20" s="17">
        <f t="shared" si="40"/>
        <v>0</v>
      </c>
      <c r="AC20" s="37"/>
      <c r="AD20" s="5"/>
      <c r="AE20" s="2">
        <v>2</v>
      </c>
      <c r="AF20" s="58" t="s">
        <v>3</v>
      </c>
      <c r="AG20" s="2">
        <v>0</v>
      </c>
      <c r="AH20" s="17">
        <f t="shared" si="41"/>
        <v>1</v>
      </c>
      <c r="AI20" s="37"/>
      <c r="AJ20" s="5"/>
      <c r="AK20" s="2">
        <v>2</v>
      </c>
      <c r="AL20" s="58" t="s">
        <v>3</v>
      </c>
      <c r="AM20" s="2">
        <v>1</v>
      </c>
      <c r="AN20" s="17">
        <f t="shared" si="42"/>
        <v>2</v>
      </c>
      <c r="AO20" s="37"/>
      <c r="AP20" s="5"/>
      <c r="AQ20" s="2">
        <v>2</v>
      </c>
      <c r="AR20" s="58" t="s">
        <v>3</v>
      </c>
      <c r="AS20" s="2">
        <v>1</v>
      </c>
      <c r="AT20" s="17">
        <f t="shared" si="43"/>
        <v>2</v>
      </c>
      <c r="AU20" s="37"/>
      <c r="AV20" s="5"/>
      <c r="AW20" s="2">
        <v>2</v>
      </c>
      <c r="AX20" s="58" t="s">
        <v>3</v>
      </c>
      <c r="AY20" s="2">
        <v>1</v>
      </c>
      <c r="AZ20" s="17">
        <f t="shared" si="44"/>
        <v>2</v>
      </c>
      <c r="BA20" s="37"/>
      <c r="BB20" s="5"/>
      <c r="BC20" s="2">
        <v>2</v>
      </c>
      <c r="BD20" s="58" t="s">
        <v>3</v>
      </c>
      <c r="BE20" s="2">
        <v>2</v>
      </c>
      <c r="BF20" s="17">
        <f t="shared" si="45"/>
        <v>0</v>
      </c>
      <c r="BG20" s="37"/>
      <c r="BH20" s="5"/>
      <c r="BI20" s="2">
        <v>1</v>
      </c>
      <c r="BJ20" s="58" t="s">
        <v>3</v>
      </c>
      <c r="BK20" s="2">
        <v>0</v>
      </c>
      <c r="BL20" s="17">
        <f t="shared" si="46"/>
        <v>3</v>
      </c>
      <c r="BM20" s="37"/>
      <c r="BN20" s="5"/>
      <c r="BO20" s="2">
        <v>2</v>
      </c>
      <c r="BP20" s="58" t="s">
        <v>3</v>
      </c>
      <c r="BQ20" s="2">
        <v>0</v>
      </c>
      <c r="BR20" s="17">
        <f t="shared" si="47"/>
        <v>1</v>
      </c>
      <c r="BS20" s="37"/>
      <c r="BT20" s="5"/>
      <c r="BU20" s="2">
        <v>2</v>
      </c>
      <c r="BV20" s="58" t="s">
        <v>3</v>
      </c>
      <c r="BW20" s="2">
        <v>0</v>
      </c>
      <c r="BX20" s="17">
        <f t="shared" si="48"/>
        <v>1</v>
      </c>
      <c r="BY20" s="37"/>
      <c r="BZ20" s="5"/>
      <c r="CA20" s="2">
        <v>2</v>
      </c>
      <c r="CB20" s="58" t="s">
        <v>3</v>
      </c>
      <c r="CC20" s="2">
        <v>1</v>
      </c>
      <c r="CD20" s="17">
        <f t="shared" si="49"/>
        <v>2</v>
      </c>
      <c r="CE20" s="37"/>
      <c r="CF20" s="5"/>
      <c r="CG20" s="2">
        <v>2</v>
      </c>
      <c r="CH20" s="58" t="s">
        <v>3</v>
      </c>
      <c r="CI20" s="2">
        <v>1</v>
      </c>
      <c r="CJ20" s="17">
        <f t="shared" si="50"/>
        <v>2</v>
      </c>
      <c r="CK20" s="37"/>
      <c r="CL20" s="5"/>
      <c r="CM20" s="2">
        <v>2</v>
      </c>
      <c r="CN20" s="58" t="s">
        <v>3</v>
      </c>
      <c r="CO20" s="2">
        <v>0</v>
      </c>
      <c r="CP20" s="17">
        <f t="shared" si="51"/>
        <v>1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2</v>
      </c>
      <c r="CW20" s="37"/>
      <c r="CX20" s="5"/>
      <c r="CY20" s="2">
        <v>3</v>
      </c>
      <c r="CZ20" s="58" t="s">
        <v>3</v>
      </c>
      <c r="DA20" s="2">
        <v>0</v>
      </c>
      <c r="DB20" s="17">
        <f t="shared" si="53"/>
        <v>1</v>
      </c>
      <c r="DC20" s="37"/>
      <c r="DD20" s="5"/>
      <c r="DE20" s="2">
        <v>2</v>
      </c>
      <c r="DF20" s="58" t="s">
        <v>3</v>
      </c>
      <c r="DG20" s="2">
        <v>0</v>
      </c>
      <c r="DH20" s="17">
        <f t="shared" si="54"/>
        <v>1</v>
      </c>
      <c r="DI20" s="37"/>
      <c r="DJ20" s="5"/>
      <c r="DK20" s="2">
        <v>2</v>
      </c>
      <c r="DL20" s="58" t="s">
        <v>3</v>
      </c>
      <c r="DM20" s="2">
        <v>0</v>
      </c>
      <c r="DN20" s="17">
        <f t="shared" si="55"/>
        <v>1</v>
      </c>
      <c r="DO20" s="37"/>
      <c r="DP20" s="5"/>
      <c r="DQ20" s="2">
        <v>2</v>
      </c>
      <c r="DR20" s="58" t="s">
        <v>3</v>
      </c>
      <c r="DS20" s="2">
        <v>0</v>
      </c>
      <c r="DT20" s="17">
        <f t="shared" si="56"/>
        <v>1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2</v>
      </c>
      <c r="EA20" s="37"/>
      <c r="EB20" s="5"/>
      <c r="EC20" s="2">
        <v>2</v>
      </c>
      <c r="ED20" s="58" t="s">
        <v>3</v>
      </c>
      <c r="EE20" s="2">
        <v>1</v>
      </c>
      <c r="EF20" s="17">
        <f t="shared" si="58"/>
        <v>2</v>
      </c>
      <c r="EG20" s="37"/>
      <c r="EH20" s="5"/>
      <c r="EI20" s="2">
        <v>2</v>
      </c>
      <c r="EJ20" s="58" t="s">
        <v>3</v>
      </c>
      <c r="EK20" s="2">
        <v>0</v>
      </c>
      <c r="EL20" s="17">
        <f t="shared" si="59"/>
        <v>1</v>
      </c>
      <c r="EM20" s="37"/>
      <c r="EN20" s="5"/>
      <c r="EO20" s="2">
        <v>1</v>
      </c>
      <c r="EP20" s="58" t="s">
        <v>3</v>
      </c>
      <c r="EQ20" s="2">
        <v>1</v>
      </c>
      <c r="ER20" s="17">
        <f t="shared" si="60"/>
        <v>0</v>
      </c>
      <c r="ES20" s="37"/>
      <c r="ET20" s="5"/>
      <c r="EU20" s="2">
        <v>2</v>
      </c>
      <c r="EV20" s="58" t="s">
        <v>3</v>
      </c>
      <c r="EW20" s="2">
        <v>1</v>
      </c>
      <c r="EX20" s="17">
        <f t="shared" si="61"/>
        <v>2</v>
      </c>
      <c r="EY20" s="37"/>
      <c r="EZ20" s="5"/>
      <c r="FA20" s="2">
        <v>2</v>
      </c>
      <c r="FB20" s="58" t="s">
        <v>3</v>
      </c>
      <c r="FC20" s="2">
        <v>1</v>
      </c>
      <c r="FD20" s="17">
        <f t="shared" si="62"/>
        <v>2</v>
      </c>
      <c r="FE20" s="37"/>
      <c r="FF20" s="5"/>
      <c r="FG20" s="2">
        <v>2</v>
      </c>
      <c r="FH20" s="58" t="s">
        <v>3</v>
      </c>
      <c r="FI20" s="2">
        <v>0</v>
      </c>
      <c r="FJ20" s="17">
        <f t="shared" si="63"/>
        <v>1</v>
      </c>
      <c r="FK20" s="37"/>
      <c r="FL20" s="5"/>
      <c r="FM20" s="2">
        <v>1</v>
      </c>
      <c r="FN20" s="58" t="s">
        <v>3</v>
      </c>
      <c r="FO20" s="2">
        <v>0</v>
      </c>
      <c r="FP20" s="17">
        <f t="shared" si="64"/>
        <v>3</v>
      </c>
      <c r="FQ20" s="37"/>
      <c r="FR20" s="5"/>
      <c r="FS20" s="2">
        <v>2</v>
      </c>
      <c r="FT20" s="58" t="s">
        <v>3</v>
      </c>
      <c r="FU20" s="2">
        <v>0</v>
      </c>
      <c r="FV20" s="17">
        <f t="shared" si="65"/>
        <v>1</v>
      </c>
      <c r="FW20" s="37"/>
      <c r="FX20" s="5"/>
      <c r="FY20" s="2">
        <v>2</v>
      </c>
      <c r="FZ20" s="58" t="s">
        <v>3</v>
      </c>
      <c r="GA20" s="2">
        <v>1</v>
      </c>
      <c r="GB20" s="17">
        <f t="shared" si="66"/>
        <v>2</v>
      </c>
      <c r="GC20" s="37"/>
      <c r="GD20" s="5"/>
      <c r="GE20" s="2">
        <v>1</v>
      </c>
      <c r="GF20" s="58" t="s">
        <v>3</v>
      </c>
      <c r="GG20" s="2">
        <v>2</v>
      </c>
      <c r="GH20" s="17">
        <f t="shared" si="67"/>
        <v>0</v>
      </c>
      <c r="GI20" s="37"/>
      <c r="GJ20" s="5"/>
      <c r="GK20" s="2">
        <v>2</v>
      </c>
      <c r="GL20" s="58" t="s">
        <v>3</v>
      </c>
      <c r="GM20" s="2">
        <v>0</v>
      </c>
      <c r="GN20" s="17">
        <f t="shared" si="68"/>
        <v>1</v>
      </c>
      <c r="GO20" s="37"/>
      <c r="GP20" s="5"/>
      <c r="GQ20" s="2">
        <v>2</v>
      </c>
      <c r="GR20" s="58" t="s">
        <v>3</v>
      </c>
      <c r="GS20" s="2">
        <v>0</v>
      </c>
      <c r="GT20" s="17">
        <f t="shared" si="69"/>
        <v>1</v>
      </c>
      <c r="GU20" s="37"/>
      <c r="GV20" s="5"/>
    </row>
    <row r="21" spans="1:204" ht="18" x14ac:dyDescent="0.25">
      <c r="A21" s="62" t="s">
        <v>109</v>
      </c>
      <c r="B21" s="70" t="s">
        <v>74</v>
      </c>
      <c r="C21" s="78" t="s">
        <v>3</v>
      </c>
      <c r="D21" s="70" t="s">
        <v>81</v>
      </c>
      <c r="E21" s="74">
        <v>2</v>
      </c>
      <c r="F21" s="55" t="s">
        <v>3</v>
      </c>
      <c r="G21" s="55">
        <v>0</v>
      </c>
      <c r="I21" s="49">
        <f t="shared" si="35"/>
        <v>0</v>
      </c>
      <c r="J21" s="49">
        <f t="shared" si="36"/>
        <v>2</v>
      </c>
      <c r="K21" s="49">
        <f t="shared" si="37"/>
        <v>15</v>
      </c>
      <c r="L21" s="5"/>
      <c r="M21" s="2">
        <v>2</v>
      </c>
      <c r="N21" s="58" t="s">
        <v>3</v>
      </c>
      <c r="O21" s="2">
        <v>1</v>
      </c>
      <c r="P21" s="17">
        <f t="shared" si="38"/>
        <v>1</v>
      </c>
      <c r="Q21" s="35"/>
      <c r="R21" s="5"/>
      <c r="S21" s="2">
        <v>3</v>
      </c>
      <c r="T21" s="58" t="s">
        <v>3</v>
      </c>
      <c r="U21" s="2">
        <v>1</v>
      </c>
      <c r="V21" s="17">
        <f t="shared" si="39"/>
        <v>2</v>
      </c>
      <c r="W21" s="37"/>
      <c r="X21" s="5"/>
      <c r="Y21" s="2">
        <v>3</v>
      </c>
      <c r="Z21" s="58" t="s">
        <v>3</v>
      </c>
      <c r="AA21" s="2">
        <v>1</v>
      </c>
      <c r="AB21" s="17">
        <f t="shared" si="40"/>
        <v>2</v>
      </c>
      <c r="AC21" s="37"/>
      <c r="AD21" s="5"/>
      <c r="AE21" s="2">
        <v>1</v>
      </c>
      <c r="AF21" s="58" t="s">
        <v>3</v>
      </c>
      <c r="AG21" s="2">
        <v>2</v>
      </c>
      <c r="AH21" s="17">
        <f t="shared" si="41"/>
        <v>0</v>
      </c>
      <c r="AI21" s="37"/>
      <c r="AJ21" s="5"/>
      <c r="AK21" s="2">
        <v>1</v>
      </c>
      <c r="AL21" s="58" t="s">
        <v>3</v>
      </c>
      <c r="AM21" s="2">
        <v>1</v>
      </c>
      <c r="AN21" s="17">
        <f t="shared" si="42"/>
        <v>0</v>
      </c>
      <c r="AO21" s="37"/>
      <c r="AP21" s="5"/>
      <c r="AQ21" s="2">
        <v>2</v>
      </c>
      <c r="AR21" s="58" t="s">
        <v>3</v>
      </c>
      <c r="AS21" s="2">
        <v>1</v>
      </c>
      <c r="AT21" s="17">
        <f t="shared" si="43"/>
        <v>1</v>
      </c>
      <c r="AU21" s="37"/>
      <c r="AV21" s="5"/>
      <c r="AW21" s="2">
        <v>1</v>
      </c>
      <c r="AX21" s="58" t="s">
        <v>3</v>
      </c>
      <c r="AY21" s="2">
        <v>1</v>
      </c>
      <c r="AZ21" s="17">
        <f t="shared" si="44"/>
        <v>0</v>
      </c>
      <c r="BA21" s="37"/>
      <c r="BB21" s="5"/>
      <c r="BC21" s="2">
        <v>1</v>
      </c>
      <c r="BD21" s="58" t="s">
        <v>3</v>
      </c>
      <c r="BE21" s="2">
        <v>1</v>
      </c>
      <c r="BF21" s="17">
        <f t="shared" si="45"/>
        <v>0</v>
      </c>
      <c r="BG21" s="37"/>
      <c r="BH21" s="5"/>
      <c r="BI21" s="2">
        <v>1</v>
      </c>
      <c r="BJ21" s="58" t="s">
        <v>3</v>
      </c>
      <c r="BK21" s="2">
        <v>1</v>
      </c>
      <c r="BL21" s="17">
        <f t="shared" si="46"/>
        <v>0</v>
      </c>
      <c r="BM21" s="37"/>
      <c r="BN21" s="5"/>
      <c r="BO21" s="2">
        <v>2</v>
      </c>
      <c r="BP21" s="58" t="s">
        <v>3</v>
      </c>
      <c r="BQ21" s="2">
        <v>1</v>
      </c>
      <c r="BR21" s="17">
        <f t="shared" si="47"/>
        <v>1</v>
      </c>
      <c r="BS21" s="37"/>
      <c r="BT21" s="5"/>
      <c r="BU21" s="2">
        <v>1</v>
      </c>
      <c r="BV21" s="58" t="s">
        <v>3</v>
      </c>
      <c r="BW21" s="2">
        <v>1</v>
      </c>
      <c r="BX21" s="17">
        <f t="shared" si="48"/>
        <v>0</v>
      </c>
      <c r="BY21" s="37"/>
      <c r="BZ21" s="5"/>
      <c r="CA21" s="2">
        <v>1</v>
      </c>
      <c r="CB21" s="58" t="s">
        <v>3</v>
      </c>
      <c r="CC21" s="2">
        <v>2</v>
      </c>
      <c r="CD21" s="17">
        <f t="shared" si="49"/>
        <v>0</v>
      </c>
      <c r="CE21" s="37"/>
      <c r="CF21" s="5"/>
      <c r="CG21" s="2">
        <v>1</v>
      </c>
      <c r="CH21" s="58" t="s">
        <v>3</v>
      </c>
      <c r="CI21" s="2">
        <v>1</v>
      </c>
      <c r="CJ21" s="17">
        <f t="shared" si="50"/>
        <v>0</v>
      </c>
      <c r="CK21" s="37"/>
      <c r="CL21" s="5"/>
      <c r="CM21" s="2">
        <v>2</v>
      </c>
      <c r="CN21" s="58" t="s">
        <v>3</v>
      </c>
      <c r="CO21" s="2">
        <v>1</v>
      </c>
      <c r="CP21" s="17">
        <f t="shared" si="51"/>
        <v>1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1</v>
      </c>
      <c r="CW21" s="37"/>
      <c r="CX21" s="5"/>
      <c r="CY21" s="2">
        <v>2</v>
      </c>
      <c r="CZ21" s="58" t="s">
        <v>3</v>
      </c>
      <c r="DA21" s="2">
        <v>2</v>
      </c>
      <c r="DB21" s="17">
        <f t="shared" si="53"/>
        <v>0</v>
      </c>
      <c r="DC21" s="37"/>
      <c r="DD21" s="5"/>
      <c r="DE21" s="2">
        <v>2</v>
      </c>
      <c r="DF21" s="58" t="s">
        <v>3</v>
      </c>
      <c r="DG21" s="2">
        <v>1</v>
      </c>
      <c r="DH21" s="17">
        <f t="shared" si="54"/>
        <v>1</v>
      </c>
      <c r="DI21" s="37"/>
      <c r="DJ21" s="5"/>
      <c r="DK21" s="2">
        <v>2</v>
      </c>
      <c r="DL21" s="58" t="s">
        <v>3</v>
      </c>
      <c r="DM21" s="2">
        <v>1</v>
      </c>
      <c r="DN21" s="17">
        <f t="shared" si="55"/>
        <v>1</v>
      </c>
      <c r="DO21" s="37"/>
      <c r="DP21" s="5"/>
      <c r="DQ21" s="2">
        <v>2</v>
      </c>
      <c r="DR21" s="58" t="s">
        <v>3</v>
      </c>
      <c r="DS21" s="2">
        <v>1</v>
      </c>
      <c r="DT21" s="17">
        <f t="shared" si="56"/>
        <v>1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1</v>
      </c>
      <c r="EA21" s="37"/>
      <c r="EB21" s="5"/>
      <c r="EC21" s="2">
        <v>1</v>
      </c>
      <c r="ED21" s="58" t="s">
        <v>3</v>
      </c>
      <c r="EE21" s="2">
        <v>1</v>
      </c>
      <c r="EF21" s="17">
        <f t="shared" si="58"/>
        <v>0</v>
      </c>
      <c r="EG21" s="37"/>
      <c r="EH21" s="5"/>
      <c r="EI21" s="2">
        <v>2</v>
      </c>
      <c r="EJ21" s="58" t="s">
        <v>3</v>
      </c>
      <c r="EK21" s="2">
        <v>1</v>
      </c>
      <c r="EL21" s="17">
        <f t="shared" si="59"/>
        <v>1</v>
      </c>
      <c r="EM21" s="37"/>
      <c r="EN21" s="5"/>
      <c r="EO21" s="2">
        <v>2</v>
      </c>
      <c r="EP21" s="58" t="s">
        <v>3</v>
      </c>
      <c r="EQ21" s="2">
        <v>1</v>
      </c>
      <c r="ER21" s="17">
        <f t="shared" si="60"/>
        <v>1</v>
      </c>
      <c r="ES21" s="37"/>
      <c r="ET21" s="5"/>
      <c r="EU21" s="2">
        <v>1</v>
      </c>
      <c r="EV21" s="58" t="s">
        <v>3</v>
      </c>
      <c r="EW21" s="2">
        <v>3</v>
      </c>
      <c r="EX21" s="17">
        <f t="shared" si="61"/>
        <v>0</v>
      </c>
      <c r="EY21" s="37"/>
      <c r="EZ21" s="5"/>
      <c r="FA21" s="2">
        <v>1</v>
      </c>
      <c r="FB21" s="58" t="s">
        <v>3</v>
      </c>
      <c r="FC21" s="2">
        <v>2</v>
      </c>
      <c r="FD21" s="17">
        <f t="shared" si="62"/>
        <v>0</v>
      </c>
      <c r="FE21" s="37"/>
      <c r="FF21" s="5"/>
      <c r="FG21" s="2">
        <v>2</v>
      </c>
      <c r="FH21" s="58" t="s">
        <v>3</v>
      </c>
      <c r="FI21" s="2">
        <v>1</v>
      </c>
      <c r="FJ21" s="17">
        <f t="shared" si="63"/>
        <v>1</v>
      </c>
      <c r="FK21" s="37"/>
      <c r="FL21" s="5"/>
      <c r="FM21" s="2">
        <v>2</v>
      </c>
      <c r="FN21" s="58" t="s">
        <v>3</v>
      </c>
      <c r="FO21" s="2">
        <v>2</v>
      </c>
      <c r="FP21" s="17">
        <f t="shared" si="64"/>
        <v>0</v>
      </c>
      <c r="FQ21" s="37"/>
      <c r="FR21" s="5"/>
      <c r="FS21" s="2">
        <v>2</v>
      </c>
      <c r="FT21" s="58" t="s">
        <v>3</v>
      </c>
      <c r="FU21" s="2">
        <v>1</v>
      </c>
      <c r="FV21" s="17">
        <f t="shared" si="65"/>
        <v>1</v>
      </c>
      <c r="FW21" s="37"/>
      <c r="FX21" s="5"/>
      <c r="FY21" s="2">
        <v>2</v>
      </c>
      <c r="FZ21" s="58" t="s">
        <v>3</v>
      </c>
      <c r="GA21" s="2">
        <v>1</v>
      </c>
      <c r="GB21" s="17">
        <f t="shared" si="66"/>
        <v>1</v>
      </c>
      <c r="GC21" s="37"/>
      <c r="GD21" s="5"/>
      <c r="GE21" s="2">
        <v>2</v>
      </c>
      <c r="GF21" s="58" t="s">
        <v>3</v>
      </c>
      <c r="GG21" s="2">
        <v>1</v>
      </c>
      <c r="GH21" s="17">
        <f t="shared" si="67"/>
        <v>1</v>
      </c>
      <c r="GI21" s="37"/>
      <c r="GJ21" s="5"/>
      <c r="GK21" s="2">
        <v>1</v>
      </c>
      <c r="GL21" s="58" t="s">
        <v>3</v>
      </c>
      <c r="GM21" s="2">
        <v>1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2</v>
      </c>
      <c r="GT21" s="17">
        <f t="shared" si="69"/>
        <v>0</v>
      </c>
      <c r="GU21" s="37"/>
      <c r="GV21" s="5"/>
    </row>
    <row r="22" spans="1:204" ht="18" x14ac:dyDescent="0.25">
      <c r="A22" s="62" t="s">
        <v>110</v>
      </c>
      <c r="B22" s="70" t="s">
        <v>75</v>
      </c>
      <c r="C22" s="78" t="s">
        <v>3</v>
      </c>
      <c r="D22" s="70" t="s">
        <v>82</v>
      </c>
      <c r="E22" s="54">
        <v>2</v>
      </c>
      <c r="F22" s="55" t="s">
        <v>3</v>
      </c>
      <c r="G22" s="55">
        <v>1</v>
      </c>
      <c r="I22" s="49">
        <f t="shared" si="35"/>
        <v>12</v>
      </c>
      <c r="J22" s="49">
        <f t="shared" si="36"/>
        <v>7</v>
      </c>
      <c r="K22" s="49">
        <f t="shared" si="37"/>
        <v>6</v>
      </c>
      <c r="L22" s="5"/>
      <c r="M22" s="2">
        <v>2</v>
      </c>
      <c r="N22" s="58" t="s">
        <v>3</v>
      </c>
      <c r="O22" s="2">
        <v>1</v>
      </c>
      <c r="P22" s="17">
        <f t="shared" si="38"/>
        <v>3</v>
      </c>
      <c r="Q22" s="35"/>
      <c r="R22" s="5"/>
      <c r="S22" s="2">
        <v>2</v>
      </c>
      <c r="T22" s="58" t="s">
        <v>3</v>
      </c>
      <c r="U22" s="2">
        <v>1</v>
      </c>
      <c r="V22" s="17">
        <f t="shared" si="39"/>
        <v>3</v>
      </c>
      <c r="W22" s="37"/>
      <c r="X22" s="5"/>
      <c r="Y22" s="2">
        <v>2</v>
      </c>
      <c r="Z22" s="58" t="s">
        <v>3</v>
      </c>
      <c r="AA22" s="2">
        <v>0</v>
      </c>
      <c r="AB22" s="17">
        <f t="shared" si="40"/>
        <v>1</v>
      </c>
      <c r="AC22" s="37"/>
      <c r="AD22" s="5"/>
      <c r="AE22" s="2">
        <v>2</v>
      </c>
      <c r="AF22" s="58" t="s">
        <v>3</v>
      </c>
      <c r="AG22" s="2">
        <v>1</v>
      </c>
      <c r="AH22" s="17">
        <f t="shared" si="41"/>
        <v>3</v>
      </c>
      <c r="AI22" s="37"/>
      <c r="AJ22" s="5"/>
      <c r="AK22" s="2">
        <v>2</v>
      </c>
      <c r="AL22" s="58" t="s">
        <v>3</v>
      </c>
      <c r="AM22" s="2">
        <v>1</v>
      </c>
      <c r="AN22" s="17">
        <f t="shared" si="42"/>
        <v>3</v>
      </c>
      <c r="AO22" s="37"/>
      <c r="AP22" s="5"/>
      <c r="AQ22" s="2">
        <v>2</v>
      </c>
      <c r="AR22" s="58" t="s">
        <v>3</v>
      </c>
      <c r="AS22" s="2">
        <v>0</v>
      </c>
      <c r="AT22" s="17">
        <f t="shared" si="43"/>
        <v>1</v>
      </c>
      <c r="AU22" s="37"/>
      <c r="AV22" s="5"/>
      <c r="AW22" s="2">
        <v>1</v>
      </c>
      <c r="AX22" s="58" t="s">
        <v>3</v>
      </c>
      <c r="AY22" s="2">
        <v>1</v>
      </c>
      <c r="AZ22" s="17">
        <f t="shared" si="44"/>
        <v>0</v>
      </c>
      <c r="BA22" s="37"/>
      <c r="BB22" s="5"/>
      <c r="BC22" s="2">
        <v>1</v>
      </c>
      <c r="BD22" s="58" t="s">
        <v>3</v>
      </c>
      <c r="BE22" s="2">
        <v>1</v>
      </c>
      <c r="BF22" s="17">
        <f t="shared" si="45"/>
        <v>0</v>
      </c>
      <c r="BG22" s="37"/>
      <c r="BH22" s="5"/>
      <c r="BI22" s="2">
        <v>2</v>
      </c>
      <c r="BJ22" s="58" t="s">
        <v>3</v>
      </c>
      <c r="BK22" s="2">
        <v>1</v>
      </c>
      <c r="BL22" s="17">
        <f t="shared" si="46"/>
        <v>3</v>
      </c>
      <c r="BM22" s="37"/>
      <c r="BN22" s="5"/>
      <c r="BO22" s="2">
        <v>2</v>
      </c>
      <c r="BP22" s="58" t="s">
        <v>3</v>
      </c>
      <c r="BQ22" s="2">
        <v>1</v>
      </c>
      <c r="BR22" s="17">
        <f t="shared" si="47"/>
        <v>3</v>
      </c>
      <c r="BS22" s="37"/>
      <c r="BT22" s="5"/>
      <c r="BU22" s="2">
        <v>2</v>
      </c>
      <c r="BV22" s="58" t="s">
        <v>3</v>
      </c>
      <c r="BW22" s="2">
        <v>0</v>
      </c>
      <c r="BX22" s="17">
        <f t="shared" si="48"/>
        <v>1</v>
      </c>
      <c r="BY22" s="37"/>
      <c r="BZ22" s="5"/>
      <c r="CA22" s="2">
        <v>1</v>
      </c>
      <c r="CB22" s="58" t="s">
        <v>3</v>
      </c>
      <c r="CC22" s="2">
        <v>1</v>
      </c>
      <c r="CD22" s="17">
        <f t="shared" si="49"/>
        <v>0</v>
      </c>
      <c r="CE22" s="37"/>
      <c r="CF22" s="5"/>
      <c r="CG22" s="2">
        <v>2</v>
      </c>
      <c r="CH22" s="58" t="s">
        <v>3</v>
      </c>
      <c r="CI22" s="2">
        <v>0</v>
      </c>
      <c r="CJ22" s="17">
        <f t="shared" si="50"/>
        <v>1</v>
      </c>
      <c r="CK22" s="37"/>
      <c r="CL22" s="5"/>
      <c r="CM22" s="2">
        <v>2</v>
      </c>
      <c r="CN22" s="58" t="s">
        <v>3</v>
      </c>
      <c r="CO22" s="2">
        <v>1</v>
      </c>
      <c r="CP22" s="17">
        <f t="shared" si="51"/>
        <v>3</v>
      </c>
      <c r="CQ22" s="37"/>
      <c r="CR22" s="5"/>
      <c r="CS22" s="2">
        <v>2</v>
      </c>
      <c r="CT22" s="58" t="s">
        <v>3</v>
      </c>
      <c r="CU22" s="2">
        <v>1</v>
      </c>
      <c r="CV22" s="17">
        <f t="shared" si="52"/>
        <v>3</v>
      </c>
      <c r="CW22" s="37"/>
      <c r="CX22" s="5"/>
      <c r="CY22" s="2">
        <v>3</v>
      </c>
      <c r="CZ22" s="58" t="s">
        <v>3</v>
      </c>
      <c r="DA22" s="2">
        <v>2</v>
      </c>
      <c r="DB22" s="17">
        <f t="shared" si="53"/>
        <v>2</v>
      </c>
      <c r="DC22" s="37"/>
      <c r="DD22" s="5"/>
      <c r="DE22" s="2">
        <v>1</v>
      </c>
      <c r="DF22" s="58" t="s">
        <v>3</v>
      </c>
      <c r="DG22" s="2">
        <v>0</v>
      </c>
      <c r="DH22" s="17">
        <f t="shared" si="54"/>
        <v>2</v>
      </c>
      <c r="DI22" s="37"/>
      <c r="DJ22" s="5"/>
      <c r="DK22" s="2">
        <v>3</v>
      </c>
      <c r="DL22" s="58" t="s">
        <v>3</v>
      </c>
      <c r="DM22" s="2">
        <v>2</v>
      </c>
      <c r="DN22" s="17">
        <f t="shared" si="55"/>
        <v>2</v>
      </c>
      <c r="DO22" s="37"/>
      <c r="DP22" s="5"/>
      <c r="DQ22" s="2">
        <v>1</v>
      </c>
      <c r="DR22" s="58" t="s">
        <v>3</v>
      </c>
      <c r="DS22" s="2">
        <v>0</v>
      </c>
      <c r="DT22" s="17">
        <f t="shared" si="56"/>
        <v>2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3</v>
      </c>
      <c r="EA22" s="37"/>
      <c r="EB22" s="5"/>
      <c r="EC22" s="2">
        <v>1</v>
      </c>
      <c r="ED22" s="58" t="s">
        <v>3</v>
      </c>
      <c r="EE22" s="2">
        <v>0</v>
      </c>
      <c r="EF22" s="17">
        <f t="shared" si="58"/>
        <v>2</v>
      </c>
      <c r="EG22" s="37"/>
      <c r="EH22" s="5"/>
      <c r="EI22" s="2">
        <v>2</v>
      </c>
      <c r="EJ22" s="58" t="s">
        <v>3</v>
      </c>
      <c r="EK22" s="2">
        <v>0</v>
      </c>
      <c r="EL22" s="17">
        <f t="shared" si="59"/>
        <v>1</v>
      </c>
      <c r="EM22" s="37"/>
      <c r="EN22" s="5"/>
      <c r="EO22" s="2">
        <v>1</v>
      </c>
      <c r="EP22" s="58" t="s">
        <v>3</v>
      </c>
      <c r="EQ22" s="2">
        <v>1</v>
      </c>
      <c r="ER22" s="17">
        <f t="shared" si="60"/>
        <v>0</v>
      </c>
      <c r="ES22" s="37"/>
      <c r="ET22" s="5"/>
      <c r="EU22" s="2">
        <v>2</v>
      </c>
      <c r="EV22" s="58" t="s">
        <v>3</v>
      </c>
      <c r="EW22" s="2">
        <v>2</v>
      </c>
      <c r="EX22" s="17">
        <f t="shared" si="61"/>
        <v>0</v>
      </c>
      <c r="EY22" s="37"/>
      <c r="EZ22" s="5"/>
      <c r="FA22" s="2">
        <v>2</v>
      </c>
      <c r="FB22" s="58" t="s">
        <v>3</v>
      </c>
      <c r="FC22" s="2">
        <v>1</v>
      </c>
      <c r="FD22" s="17">
        <f t="shared" si="62"/>
        <v>3</v>
      </c>
      <c r="FE22" s="37"/>
      <c r="FF22" s="5"/>
      <c r="FG22" s="2">
        <v>1</v>
      </c>
      <c r="FH22" s="58" t="s">
        <v>3</v>
      </c>
      <c r="FI22" s="2">
        <v>1</v>
      </c>
      <c r="FJ22" s="17">
        <f t="shared" si="63"/>
        <v>0</v>
      </c>
      <c r="FK22" s="37"/>
      <c r="FL22" s="5"/>
      <c r="FM22" s="2">
        <v>1</v>
      </c>
      <c r="FN22" s="58" t="s">
        <v>3</v>
      </c>
      <c r="FO22" s="2">
        <v>0</v>
      </c>
      <c r="FP22" s="17">
        <f t="shared" si="64"/>
        <v>2</v>
      </c>
      <c r="FQ22" s="37"/>
      <c r="FR22" s="5"/>
      <c r="FS22" s="2">
        <v>1</v>
      </c>
      <c r="FT22" s="58" t="s">
        <v>3</v>
      </c>
      <c r="FU22" s="2">
        <v>0</v>
      </c>
      <c r="FV22" s="17">
        <f t="shared" si="65"/>
        <v>2</v>
      </c>
      <c r="FW22" s="37"/>
      <c r="FX22" s="5"/>
      <c r="FY22" s="2">
        <v>2</v>
      </c>
      <c r="FZ22" s="58" t="s">
        <v>3</v>
      </c>
      <c r="GA22" s="2">
        <v>1</v>
      </c>
      <c r="GB22" s="17">
        <f t="shared" si="66"/>
        <v>3</v>
      </c>
      <c r="GC22" s="37"/>
      <c r="GD22" s="5"/>
      <c r="GE22" s="2">
        <v>1</v>
      </c>
      <c r="GF22" s="58" t="s">
        <v>3</v>
      </c>
      <c r="GG22" s="2">
        <v>1</v>
      </c>
      <c r="GH22" s="17">
        <f t="shared" si="67"/>
        <v>0</v>
      </c>
      <c r="GI22" s="37"/>
      <c r="GJ22" s="5"/>
      <c r="GK22" s="2">
        <v>3</v>
      </c>
      <c r="GL22" s="58" t="s">
        <v>3</v>
      </c>
      <c r="GM22" s="2">
        <v>0</v>
      </c>
      <c r="GN22" s="17">
        <f t="shared" si="68"/>
        <v>1</v>
      </c>
      <c r="GO22" s="37"/>
      <c r="GP22" s="5"/>
      <c r="GQ22" s="2">
        <v>2</v>
      </c>
      <c r="GR22" s="58" t="s">
        <v>3</v>
      </c>
      <c r="GS22" s="2">
        <v>1</v>
      </c>
      <c r="GT22" s="17">
        <f t="shared" si="69"/>
        <v>3</v>
      </c>
      <c r="GU22" s="37"/>
      <c r="GV22" s="5"/>
    </row>
    <row r="23" spans="1:204" ht="18" customHeight="1" x14ac:dyDescent="0.25">
      <c r="A23" s="62" t="s">
        <v>109</v>
      </c>
      <c r="B23" s="70" t="s">
        <v>76</v>
      </c>
      <c r="C23" s="78" t="s">
        <v>3</v>
      </c>
      <c r="D23" s="70" t="s">
        <v>89</v>
      </c>
      <c r="E23" s="54">
        <v>2</v>
      </c>
      <c r="F23" s="55" t="s">
        <v>3</v>
      </c>
      <c r="G23" s="55">
        <v>3</v>
      </c>
      <c r="I23" s="49">
        <f t="shared" si="35"/>
        <v>1</v>
      </c>
      <c r="J23" s="49">
        <f t="shared" si="36"/>
        <v>11</v>
      </c>
      <c r="K23" s="49">
        <f t="shared" si="37"/>
        <v>0</v>
      </c>
      <c r="L23" s="5"/>
      <c r="M23" s="2">
        <v>1</v>
      </c>
      <c r="N23" s="58" t="s">
        <v>3</v>
      </c>
      <c r="O23" s="2">
        <v>1</v>
      </c>
      <c r="P23" s="17">
        <f t="shared" si="38"/>
        <v>0</v>
      </c>
      <c r="Q23" s="35"/>
      <c r="R23" s="5"/>
      <c r="S23" s="2">
        <v>3</v>
      </c>
      <c r="T23" s="58" t="s">
        <v>3</v>
      </c>
      <c r="U23" s="2">
        <v>2</v>
      </c>
      <c r="V23" s="17">
        <f t="shared" si="39"/>
        <v>0</v>
      </c>
      <c r="W23" s="37"/>
      <c r="X23" s="5"/>
      <c r="Y23" s="2">
        <v>1</v>
      </c>
      <c r="Z23" s="58" t="s">
        <v>3</v>
      </c>
      <c r="AA23" s="2">
        <v>2</v>
      </c>
      <c r="AB23" s="17">
        <f t="shared" si="40"/>
        <v>2</v>
      </c>
      <c r="AC23" s="37"/>
      <c r="AD23" s="5"/>
      <c r="AE23" s="2">
        <v>1</v>
      </c>
      <c r="AF23" s="58" t="s">
        <v>3</v>
      </c>
      <c r="AG23" s="2">
        <v>1</v>
      </c>
      <c r="AH23" s="17">
        <f t="shared" si="41"/>
        <v>0</v>
      </c>
      <c r="AI23" s="37"/>
      <c r="AJ23" s="5"/>
      <c r="AK23" s="2">
        <v>2</v>
      </c>
      <c r="AL23" s="58" t="s">
        <v>3</v>
      </c>
      <c r="AM23" s="2">
        <v>1</v>
      </c>
      <c r="AN23" s="17">
        <f t="shared" si="42"/>
        <v>0</v>
      </c>
      <c r="AO23" s="37"/>
      <c r="AP23" s="5"/>
      <c r="AQ23" s="2">
        <v>2</v>
      </c>
      <c r="AR23" s="58" t="s">
        <v>3</v>
      </c>
      <c r="AS23" s="2">
        <v>1</v>
      </c>
      <c r="AT23" s="17">
        <f t="shared" si="43"/>
        <v>0</v>
      </c>
      <c r="AU23" s="37"/>
      <c r="AV23" s="5"/>
      <c r="AW23" s="2">
        <v>2</v>
      </c>
      <c r="AX23" s="58" t="s">
        <v>3</v>
      </c>
      <c r="AY23" s="2">
        <v>1</v>
      </c>
      <c r="AZ23" s="17">
        <f t="shared" si="44"/>
        <v>0</v>
      </c>
      <c r="BA23" s="37"/>
      <c r="BB23" s="5"/>
      <c r="BC23" s="2">
        <v>2</v>
      </c>
      <c r="BD23" s="58" t="s">
        <v>3</v>
      </c>
      <c r="BE23" s="2">
        <v>2</v>
      </c>
      <c r="BF23" s="17">
        <f t="shared" si="45"/>
        <v>0</v>
      </c>
      <c r="BG23" s="37"/>
      <c r="BH23" s="5"/>
      <c r="BI23" s="2">
        <v>2</v>
      </c>
      <c r="BJ23" s="58" t="s">
        <v>3</v>
      </c>
      <c r="BK23" s="2">
        <v>1</v>
      </c>
      <c r="BL23" s="17">
        <f t="shared" si="46"/>
        <v>0</v>
      </c>
      <c r="BM23" s="37"/>
      <c r="BN23" s="5"/>
      <c r="BO23" s="2">
        <v>0</v>
      </c>
      <c r="BP23" s="58" t="s">
        <v>3</v>
      </c>
      <c r="BQ23" s="2">
        <v>1</v>
      </c>
      <c r="BR23" s="17">
        <f t="shared" si="47"/>
        <v>2</v>
      </c>
      <c r="BS23" s="37"/>
      <c r="BT23" s="5"/>
      <c r="BU23" s="2">
        <v>1</v>
      </c>
      <c r="BV23" s="58" t="s">
        <v>3</v>
      </c>
      <c r="BW23" s="2">
        <v>2</v>
      </c>
      <c r="BX23" s="17">
        <f t="shared" si="48"/>
        <v>2</v>
      </c>
      <c r="BY23" s="37"/>
      <c r="BZ23" s="5"/>
      <c r="CA23" s="2">
        <v>2</v>
      </c>
      <c r="CB23" s="58" t="s">
        <v>3</v>
      </c>
      <c r="CC23" s="2">
        <v>1</v>
      </c>
      <c r="CD23" s="17">
        <f t="shared" si="49"/>
        <v>0</v>
      </c>
      <c r="CE23" s="37"/>
      <c r="CF23" s="5"/>
      <c r="CG23" s="2">
        <v>2</v>
      </c>
      <c r="CH23" s="58" t="s">
        <v>3</v>
      </c>
      <c r="CI23" s="2">
        <v>1</v>
      </c>
      <c r="CJ23" s="17">
        <f t="shared" si="50"/>
        <v>0</v>
      </c>
      <c r="CK23" s="37"/>
      <c r="CL23" s="5"/>
      <c r="CM23" s="2">
        <v>1</v>
      </c>
      <c r="CN23" s="58" t="s">
        <v>3</v>
      </c>
      <c r="CO23" s="2">
        <v>1</v>
      </c>
      <c r="CP23" s="17">
        <f t="shared" si="51"/>
        <v>0</v>
      </c>
      <c r="CQ23" s="37"/>
      <c r="CR23" s="5"/>
      <c r="CS23" s="2">
        <v>2</v>
      </c>
      <c r="CT23" s="58" t="s">
        <v>3</v>
      </c>
      <c r="CU23" s="2">
        <v>1</v>
      </c>
      <c r="CV23" s="17">
        <f t="shared" si="52"/>
        <v>0</v>
      </c>
      <c r="CW23" s="37"/>
      <c r="CX23" s="5"/>
      <c r="CY23" s="2">
        <v>1</v>
      </c>
      <c r="CZ23" s="58" t="s">
        <v>3</v>
      </c>
      <c r="DA23" s="2">
        <v>2</v>
      </c>
      <c r="DB23" s="17">
        <f t="shared" si="53"/>
        <v>2</v>
      </c>
      <c r="DC23" s="37"/>
      <c r="DD23" s="5"/>
      <c r="DE23" s="2">
        <v>1</v>
      </c>
      <c r="DF23" s="58" t="s">
        <v>3</v>
      </c>
      <c r="DG23" s="2">
        <v>0</v>
      </c>
      <c r="DH23" s="17">
        <f t="shared" si="54"/>
        <v>0</v>
      </c>
      <c r="DI23" s="37"/>
      <c r="DJ23" s="5"/>
      <c r="DK23" s="2">
        <v>1</v>
      </c>
      <c r="DL23" s="58" t="s">
        <v>3</v>
      </c>
      <c r="DM23" s="2">
        <v>1</v>
      </c>
      <c r="DN23" s="17">
        <f t="shared" si="55"/>
        <v>0</v>
      </c>
      <c r="DO23" s="37"/>
      <c r="DP23" s="5"/>
      <c r="DQ23" s="2">
        <v>1</v>
      </c>
      <c r="DR23" s="58" t="s">
        <v>3</v>
      </c>
      <c r="DS23" s="2">
        <v>2</v>
      </c>
      <c r="DT23" s="17">
        <f t="shared" si="56"/>
        <v>2</v>
      </c>
      <c r="DU23" s="37"/>
      <c r="DV23" s="5"/>
      <c r="DW23" s="2">
        <v>1</v>
      </c>
      <c r="DX23" s="58" t="s">
        <v>3</v>
      </c>
      <c r="DY23" s="2">
        <v>2</v>
      </c>
      <c r="DZ23" s="17">
        <f t="shared" si="57"/>
        <v>2</v>
      </c>
      <c r="EA23" s="37"/>
      <c r="EB23" s="5"/>
      <c r="EC23" s="2">
        <v>0</v>
      </c>
      <c r="ED23" s="58" t="s">
        <v>3</v>
      </c>
      <c r="EE23" s="2">
        <v>1</v>
      </c>
      <c r="EF23" s="17">
        <f t="shared" si="58"/>
        <v>2</v>
      </c>
      <c r="EG23" s="37"/>
      <c r="EH23" s="5"/>
      <c r="EI23" s="2">
        <v>0</v>
      </c>
      <c r="EJ23" s="58" t="s">
        <v>3</v>
      </c>
      <c r="EK23" s="2">
        <v>0</v>
      </c>
      <c r="EL23" s="17">
        <f t="shared" si="59"/>
        <v>0</v>
      </c>
      <c r="EM23" s="37"/>
      <c r="EN23" s="5"/>
      <c r="EO23" s="2">
        <v>1</v>
      </c>
      <c r="EP23" s="58" t="s">
        <v>3</v>
      </c>
      <c r="EQ23" s="2">
        <v>2</v>
      </c>
      <c r="ER23" s="17">
        <f t="shared" si="60"/>
        <v>2</v>
      </c>
      <c r="ES23" s="37"/>
      <c r="ET23" s="5"/>
      <c r="EU23" s="2">
        <v>2</v>
      </c>
      <c r="EV23" s="58" t="s">
        <v>3</v>
      </c>
      <c r="EW23" s="2">
        <v>3</v>
      </c>
      <c r="EX23" s="17">
        <f t="shared" si="61"/>
        <v>3</v>
      </c>
      <c r="EY23" s="37"/>
      <c r="EZ23" s="5"/>
      <c r="FA23" s="2">
        <v>1</v>
      </c>
      <c r="FB23" s="58" t="s">
        <v>3</v>
      </c>
      <c r="FC23" s="2">
        <v>1</v>
      </c>
      <c r="FD23" s="17">
        <f t="shared" si="62"/>
        <v>0</v>
      </c>
      <c r="FE23" s="37"/>
      <c r="FF23" s="5"/>
      <c r="FG23" s="2">
        <v>1</v>
      </c>
      <c r="FH23" s="58" t="s">
        <v>3</v>
      </c>
      <c r="FI23" s="2">
        <v>2</v>
      </c>
      <c r="FJ23" s="17">
        <f t="shared" si="63"/>
        <v>2</v>
      </c>
      <c r="FK23" s="37"/>
      <c r="FL23" s="5"/>
      <c r="FM23" s="2">
        <v>1</v>
      </c>
      <c r="FN23" s="58" t="s">
        <v>3</v>
      </c>
      <c r="FO23" s="2">
        <v>1</v>
      </c>
      <c r="FP23" s="17">
        <f t="shared" si="64"/>
        <v>0</v>
      </c>
      <c r="FQ23" s="37"/>
      <c r="FR23" s="5"/>
      <c r="FS23" s="2">
        <v>1</v>
      </c>
      <c r="FT23" s="58" t="s">
        <v>3</v>
      </c>
      <c r="FU23" s="2">
        <v>0</v>
      </c>
      <c r="FV23" s="17">
        <f t="shared" si="65"/>
        <v>0</v>
      </c>
      <c r="FW23" s="37"/>
      <c r="FX23" s="5"/>
      <c r="FY23" s="2">
        <v>1</v>
      </c>
      <c r="FZ23" s="58" t="s">
        <v>3</v>
      </c>
      <c r="GA23" s="2">
        <v>1</v>
      </c>
      <c r="GB23" s="17">
        <f t="shared" si="66"/>
        <v>0</v>
      </c>
      <c r="GC23" s="37"/>
      <c r="GD23" s="5"/>
      <c r="GE23" s="2">
        <v>1</v>
      </c>
      <c r="GF23" s="58" t="s">
        <v>3</v>
      </c>
      <c r="GG23" s="2">
        <v>2</v>
      </c>
      <c r="GH23" s="17">
        <f t="shared" si="67"/>
        <v>2</v>
      </c>
      <c r="GI23" s="37"/>
      <c r="GJ23" s="5"/>
      <c r="GK23" s="2">
        <v>1</v>
      </c>
      <c r="GL23" s="58" t="s">
        <v>3</v>
      </c>
      <c r="GM23" s="2">
        <v>2</v>
      </c>
      <c r="GN23" s="17">
        <f t="shared" si="68"/>
        <v>2</v>
      </c>
      <c r="GO23" s="37"/>
      <c r="GP23" s="5"/>
      <c r="GQ23" s="2">
        <v>2</v>
      </c>
      <c r="GR23" s="58" t="s">
        <v>3</v>
      </c>
      <c r="GS23" s="2">
        <v>2</v>
      </c>
      <c r="GT23" s="17">
        <f t="shared" si="69"/>
        <v>0</v>
      </c>
      <c r="GU23" s="37"/>
      <c r="GV23" s="5"/>
    </row>
    <row r="24" spans="1:204" ht="18" x14ac:dyDescent="0.25">
      <c r="A24" s="62" t="s">
        <v>110</v>
      </c>
      <c r="B24" s="70" t="s">
        <v>71</v>
      </c>
      <c r="C24" s="78" t="s">
        <v>3</v>
      </c>
      <c r="D24" s="70" t="s">
        <v>80</v>
      </c>
      <c r="E24" s="54">
        <v>4</v>
      </c>
      <c r="F24" s="55" t="s">
        <v>3</v>
      </c>
      <c r="G24" s="55">
        <v>2</v>
      </c>
      <c r="I24" s="49">
        <f t="shared" si="35"/>
        <v>0</v>
      </c>
      <c r="J24" s="49">
        <f t="shared" si="36"/>
        <v>16</v>
      </c>
      <c r="K24" s="49">
        <f t="shared" si="37"/>
        <v>15</v>
      </c>
      <c r="L24" s="5"/>
      <c r="M24" s="2">
        <v>2</v>
      </c>
      <c r="N24" s="58" t="s">
        <v>3</v>
      </c>
      <c r="O24" s="2">
        <v>0</v>
      </c>
      <c r="P24" s="17">
        <f t="shared" si="38"/>
        <v>2</v>
      </c>
      <c r="Q24" s="35"/>
      <c r="R24" s="5"/>
      <c r="S24" s="2">
        <v>1</v>
      </c>
      <c r="T24" s="58" t="s">
        <v>3</v>
      </c>
      <c r="U24" s="2">
        <v>0</v>
      </c>
      <c r="V24" s="17">
        <f t="shared" si="39"/>
        <v>1</v>
      </c>
      <c r="W24" s="37"/>
      <c r="X24" s="5"/>
      <c r="Y24" s="2">
        <v>2</v>
      </c>
      <c r="Z24" s="58" t="s">
        <v>3</v>
      </c>
      <c r="AA24" s="2">
        <v>0</v>
      </c>
      <c r="AB24" s="17">
        <f t="shared" si="40"/>
        <v>2</v>
      </c>
      <c r="AC24" s="37"/>
      <c r="AD24" s="5"/>
      <c r="AE24" s="2">
        <v>3</v>
      </c>
      <c r="AF24" s="58" t="s">
        <v>3</v>
      </c>
      <c r="AG24" s="2">
        <v>1</v>
      </c>
      <c r="AH24" s="17">
        <f t="shared" si="41"/>
        <v>2</v>
      </c>
      <c r="AI24" s="37"/>
      <c r="AJ24" s="5"/>
      <c r="AK24" s="2">
        <v>3</v>
      </c>
      <c r="AL24" s="58" t="s">
        <v>3</v>
      </c>
      <c r="AM24" s="2">
        <v>1</v>
      </c>
      <c r="AN24" s="17">
        <f t="shared" si="42"/>
        <v>2</v>
      </c>
      <c r="AO24" s="37"/>
      <c r="AP24" s="5"/>
      <c r="AQ24" s="2">
        <v>2</v>
      </c>
      <c r="AR24" s="58" t="s">
        <v>3</v>
      </c>
      <c r="AS24" s="2">
        <v>1</v>
      </c>
      <c r="AT24" s="17">
        <f t="shared" si="43"/>
        <v>1</v>
      </c>
      <c r="AU24" s="37"/>
      <c r="AV24" s="5"/>
      <c r="AW24" s="2">
        <v>1</v>
      </c>
      <c r="AX24" s="58" t="s">
        <v>3</v>
      </c>
      <c r="AY24" s="2">
        <v>0</v>
      </c>
      <c r="AZ24" s="17">
        <f t="shared" si="44"/>
        <v>1</v>
      </c>
      <c r="BA24" s="37"/>
      <c r="BB24" s="5"/>
      <c r="BC24" s="2">
        <v>1</v>
      </c>
      <c r="BD24" s="58" t="s">
        <v>3</v>
      </c>
      <c r="BE24" s="2">
        <v>0</v>
      </c>
      <c r="BF24" s="17">
        <f t="shared" si="45"/>
        <v>1</v>
      </c>
      <c r="BG24" s="37"/>
      <c r="BH24" s="5"/>
      <c r="BI24" s="2">
        <v>1</v>
      </c>
      <c r="BJ24" s="58" t="s">
        <v>3</v>
      </c>
      <c r="BK24" s="2">
        <v>0</v>
      </c>
      <c r="BL24" s="17">
        <f t="shared" si="46"/>
        <v>1</v>
      </c>
      <c r="BM24" s="37"/>
      <c r="BN24" s="5"/>
      <c r="BO24" s="2">
        <v>2</v>
      </c>
      <c r="BP24" s="58" t="s">
        <v>3</v>
      </c>
      <c r="BQ24" s="2">
        <v>0</v>
      </c>
      <c r="BR24" s="17">
        <f t="shared" si="47"/>
        <v>2</v>
      </c>
      <c r="BS24" s="37"/>
      <c r="BT24" s="5"/>
      <c r="BU24" s="2">
        <v>2</v>
      </c>
      <c r="BV24" s="58" t="s">
        <v>3</v>
      </c>
      <c r="BW24" s="2">
        <v>0</v>
      </c>
      <c r="BX24" s="17">
        <f t="shared" si="48"/>
        <v>2</v>
      </c>
      <c r="BY24" s="37"/>
      <c r="BZ24" s="5"/>
      <c r="CA24" s="2">
        <v>2</v>
      </c>
      <c r="CB24" s="58" t="s">
        <v>3</v>
      </c>
      <c r="CC24" s="2">
        <v>1</v>
      </c>
      <c r="CD24" s="17">
        <f t="shared" si="49"/>
        <v>1</v>
      </c>
      <c r="CE24" s="37"/>
      <c r="CF24" s="5"/>
      <c r="CG24" s="2">
        <v>3</v>
      </c>
      <c r="CH24" s="58" t="s">
        <v>3</v>
      </c>
      <c r="CI24" s="2">
        <v>1</v>
      </c>
      <c r="CJ24" s="17">
        <f t="shared" si="50"/>
        <v>2</v>
      </c>
      <c r="CK24" s="37"/>
      <c r="CL24" s="5"/>
      <c r="CM24" s="2">
        <v>2</v>
      </c>
      <c r="CN24" s="58" t="s">
        <v>3</v>
      </c>
      <c r="CO24" s="2">
        <v>0</v>
      </c>
      <c r="CP24" s="17">
        <f t="shared" si="51"/>
        <v>2</v>
      </c>
      <c r="CQ24" s="37"/>
      <c r="CR24" s="5"/>
      <c r="CS24" s="2">
        <v>2</v>
      </c>
      <c r="CT24" s="58" t="s">
        <v>3</v>
      </c>
      <c r="CU24" s="2">
        <v>1</v>
      </c>
      <c r="CV24" s="17">
        <f t="shared" si="52"/>
        <v>1</v>
      </c>
      <c r="CW24" s="37"/>
      <c r="CX24" s="5"/>
      <c r="CY24" s="2">
        <v>3</v>
      </c>
      <c r="CZ24" s="58" t="s">
        <v>3</v>
      </c>
      <c r="DA24" s="2">
        <v>1</v>
      </c>
      <c r="DB24" s="17">
        <f t="shared" si="53"/>
        <v>2</v>
      </c>
      <c r="DC24" s="37"/>
      <c r="DD24" s="5"/>
      <c r="DE24" s="2">
        <v>1</v>
      </c>
      <c r="DF24" s="58" t="s">
        <v>3</v>
      </c>
      <c r="DG24" s="2">
        <v>0</v>
      </c>
      <c r="DH24" s="17">
        <f t="shared" si="54"/>
        <v>1</v>
      </c>
      <c r="DI24" s="37"/>
      <c r="DJ24" s="5"/>
      <c r="DK24" s="2">
        <v>2</v>
      </c>
      <c r="DL24" s="58" t="s">
        <v>3</v>
      </c>
      <c r="DM24" s="2">
        <v>0</v>
      </c>
      <c r="DN24" s="17">
        <f t="shared" si="55"/>
        <v>2</v>
      </c>
      <c r="DO24" s="37"/>
      <c r="DP24" s="5"/>
      <c r="DQ24" s="2">
        <v>2</v>
      </c>
      <c r="DR24" s="58" t="s">
        <v>3</v>
      </c>
      <c r="DS24" s="2">
        <v>1</v>
      </c>
      <c r="DT24" s="17">
        <f t="shared" si="56"/>
        <v>1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1</v>
      </c>
      <c r="EA24" s="37"/>
      <c r="EB24" s="5"/>
      <c r="EC24" s="2">
        <v>2</v>
      </c>
      <c r="ED24" s="58" t="s">
        <v>3</v>
      </c>
      <c r="EE24" s="2">
        <v>1</v>
      </c>
      <c r="EF24" s="17">
        <f t="shared" si="58"/>
        <v>1</v>
      </c>
      <c r="EG24" s="37"/>
      <c r="EH24" s="5"/>
      <c r="EI24" s="2">
        <v>2</v>
      </c>
      <c r="EJ24" s="58" t="s">
        <v>3</v>
      </c>
      <c r="EK24" s="2">
        <v>0</v>
      </c>
      <c r="EL24" s="17">
        <f t="shared" si="59"/>
        <v>2</v>
      </c>
      <c r="EM24" s="37"/>
      <c r="EN24" s="5"/>
      <c r="EO24" s="2">
        <v>2</v>
      </c>
      <c r="EP24" s="58" t="s">
        <v>3</v>
      </c>
      <c r="EQ24" s="2">
        <v>2</v>
      </c>
      <c r="ER24" s="17">
        <f t="shared" si="60"/>
        <v>0</v>
      </c>
      <c r="ES24" s="37"/>
      <c r="ET24" s="5"/>
      <c r="EU24" s="2">
        <v>3</v>
      </c>
      <c r="EV24" s="58" t="s">
        <v>3</v>
      </c>
      <c r="EW24" s="2">
        <v>0</v>
      </c>
      <c r="EX24" s="17">
        <f t="shared" si="61"/>
        <v>1</v>
      </c>
      <c r="EY24" s="37"/>
      <c r="EZ24" s="5"/>
      <c r="FA24" s="2">
        <v>2</v>
      </c>
      <c r="FB24" s="58" t="s">
        <v>3</v>
      </c>
      <c r="FC24" s="2">
        <v>0</v>
      </c>
      <c r="FD24" s="17">
        <f t="shared" si="62"/>
        <v>2</v>
      </c>
      <c r="FE24" s="37"/>
      <c r="FF24" s="5"/>
      <c r="FG24" s="2">
        <v>2</v>
      </c>
      <c r="FH24" s="58" t="s">
        <v>3</v>
      </c>
      <c r="FI24" s="2">
        <v>1</v>
      </c>
      <c r="FJ24" s="17">
        <f t="shared" si="63"/>
        <v>1</v>
      </c>
      <c r="FK24" s="37"/>
      <c r="FL24" s="5"/>
      <c r="FM24" s="2">
        <v>2</v>
      </c>
      <c r="FN24" s="58" t="s">
        <v>3</v>
      </c>
      <c r="FO24" s="2">
        <v>0</v>
      </c>
      <c r="FP24" s="17">
        <f t="shared" si="64"/>
        <v>2</v>
      </c>
      <c r="FQ24" s="37"/>
      <c r="FR24" s="5"/>
      <c r="FS24" s="2">
        <v>2</v>
      </c>
      <c r="FT24" s="58" t="s">
        <v>3</v>
      </c>
      <c r="FU24" s="2">
        <v>0</v>
      </c>
      <c r="FV24" s="17">
        <f t="shared" si="65"/>
        <v>2</v>
      </c>
      <c r="FW24" s="37"/>
      <c r="FX24" s="5"/>
      <c r="FY24" s="2">
        <v>2</v>
      </c>
      <c r="FZ24" s="58" t="s">
        <v>3</v>
      </c>
      <c r="GA24" s="2">
        <v>1</v>
      </c>
      <c r="GB24" s="17">
        <f t="shared" si="66"/>
        <v>1</v>
      </c>
      <c r="GC24" s="37"/>
      <c r="GD24" s="5"/>
      <c r="GE24" s="2">
        <v>2</v>
      </c>
      <c r="GF24" s="58" t="s">
        <v>3</v>
      </c>
      <c r="GG24" s="2">
        <v>1</v>
      </c>
      <c r="GH24" s="17">
        <f t="shared" si="67"/>
        <v>1</v>
      </c>
      <c r="GI24" s="37"/>
      <c r="GJ24" s="5"/>
      <c r="GK24" s="2">
        <v>2</v>
      </c>
      <c r="GL24" s="58" t="s">
        <v>3</v>
      </c>
      <c r="GM24" s="2">
        <v>0</v>
      </c>
      <c r="GN24" s="17">
        <f t="shared" si="68"/>
        <v>2</v>
      </c>
      <c r="GO24" s="37"/>
      <c r="GP24" s="5"/>
      <c r="GQ24" s="2">
        <v>3</v>
      </c>
      <c r="GR24" s="58" t="s">
        <v>3</v>
      </c>
      <c r="GS24" s="2">
        <v>1</v>
      </c>
      <c r="GT24" s="17">
        <f t="shared" si="69"/>
        <v>2</v>
      </c>
      <c r="GU24" s="37"/>
      <c r="GV24" s="5"/>
    </row>
    <row r="25" spans="1:204" ht="18" x14ac:dyDescent="0.25">
      <c r="A25" s="62" t="s">
        <v>110</v>
      </c>
      <c r="B25" s="70" t="s">
        <v>85</v>
      </c>
      <c r="C25" s="78" t="s">
        <v>3</v>
      </c>
      <c r="D25" s="70" t="s">
        <v>83</v>
      </c>
      <c r="E25" s="54">
        <v>0</v>
      </c>
      <c r="F25" s="55" t="s">
        <v>3</v>
      </c>
      <c r="G25" s="55">
        <v>0</v>
      </c>
      <c r="I25" s="49">
        <f t="shared" si="35"/>
        <v>0</v>
      </c>
      <c r="J25" s="49">
        <f t="shared" si="36"/>
        <v>5</v>
      </c>
      <c r="K25" s="49">
        <f t="shared" si="37"/>
        <v>0</v>
      </c>
      <c r="L25" s="5"/>
      <c r="M25" s="2">
        <v>0</v>
      </c>
      <c r="N25" s="58" t="s">
        <v>3</v>
      </c>
      <c r="O25" s="2">
        <v>1</v>
      </c>
      <c r="P25" s="17">
        <f t="shared" si="38"/>
        <v>0</v>
      </c>
      <c r="Q25" s="35"/>
      <c r="R25" s="5"/>
      <c r="S25" s="2">
        <v>1</v>
      </c>
      <c r="T25" s="58" t="s">
        <v>3</v>
      </c>
      <c r="U25" s="2">
        <v>2</v>
      </c>
      <c r="V25" s="17">
        <f t="shared" si="39"/>
        <v>0</v>
      </c>
      <c r="W25" s="37"/>
      <c r="X25" s="5"/>
      <c r="Y25" s="2">
        <v>0</v>
      </c>
      <c r="Z25" s="58" t="s">
        <v>3</v>
      </c>
      <c r="AA25" s="2">
        <v>1</v>
      </c>
      <c r="AB25" s="17">
        <f t="shared" si="40"/>
        <v>0</v>
      </c>
      <c r="AC25" s="37"/>
      <c r="AD25" s="5"/>
      <c r="AE25" s="2">
        <v>1</v>
      </c>
      <c r="AF25" s="58" t="s">
        <v>3</v>
      </c>
      <c r="AG25" s="2">
        <v>0</v>
      </c>
      <c r="AH25" s="17">
        <f t="shared" si="41"/>
        <v>0</v>
      </c>
      <c r="AI25" s="37"/>
      <c r="AJ25" s="5"/>
      <c r="AK25" s="2">
        <v>1</v>
      </c>
      <c r="AL25" s="58" t="s">
        <v>3</v>
      </c>
      <c r="AM25" s="2">
        <v>1</v>
      </c>
      <c r="AN25" s="17">
        <f t="shared" si="42"/>
        <v>2</v>
      </c>
      <c r="AO25" s="37"/>
      <c r="AP25" s="5"/>
      <c r="AQ25" s="2">
        <v>1</v>
      </c>
      <c r="AR25" s="58" t="s">
        <v>3</v>
      </c>
      <c r="AS25" s="2">
        <v>2</v>
      </c>
      <c r="AT25" s="17">
        <f t="shared" si="43"/>
        <v>0</v>
      </c>
      <c r="AU25" s="37"/>
      <c r="AV25" s="5"/>
      <c r="AW25" s="2">
        <v>1</v>
      </c>
      <c r="AX25" s="58" t="s">
        <v>3</v>
      </c>
      <c r="AY25" s="2">
        <v>1</v>
      </c>
      <c r="AZ25" s="17">
        <f t="shared" si="44"/>
        <v>2</v>
      </c>
      <c r="BA25" s="37"/>
      <c r="BB25" s="5"/>
      <c r="BC25" s="2">
        <v>1</v>
      </c>
      <c r="BD25" s="58" t="s">
        <v>3</v>
      </c>
      <c r="BE25" s="2">
        <v>2</v>
      </c>
      <c r="BF25" s="17">
        <f t="shared" si="45"/>
        <v>0</v>
      </c>
      <c r="BG25" s="37"/>
      <c r="BH25" s="5"/>
      <c r="BI25" s="2">
        <v>0</v>
      </c>
      <c r="BJ25" s="58" t="s">
        <v>3</v>
      </c>
      <c r="BK25" s="2">
        <v>1</v>
      </c>
      <c r="BL25" s="17">
        <f t="shared" si="46"/>
        <v>0</v>
      </c>
      <c r="BM25" s="37"/>
      <c r="BN25" s="5"/>
      <c r="BO25" s="2">
        <v>0</v>
      </c>
      <c r="BP25" s="58" t="s">
        <v>3</v>
      </c>
      <c r="BQ25" s="2">
        <v>2</v>
      </c>
      <c r="BR25" s="17">
        <f t="shared" si="47"/>
        <v>0</v>
      </c>
      <c r="BS25" s="37"/>
      <c r="BT25" s="5"/>
      <c r="BU25" s="2">
        <v>1</v>
      </c>
      <c r="BV25" s="58" t="s">
        <v>3</v>
      </c>
      <c r="BW25" s="2">
        <v>2</v>
      </c>
      <c r="BX25" s="17">
        <f t="shared" si="48"/>
        <v>0</v>
      </c>
      <c r="BY25" s="37"/>
      <c r="BZ25" s="5"/>
      <c r="CA25" s="2">
        <v>1</v>
      </c>
      <c r="CB25" s="58" t="s">
        <v>3</v>
      </c>
      <c r="CC25" s="2">
        <v>2</v>
      </c>
      <c r="CD25" s="17">
        <f t="shared" si="49"/>
        <v>0</v>
      </c>
      <c r="CE25" s="37"/>
      <c r="CF25" s="5"/>
      <c r="CG25" s="2">
        <v>0</v>
      </c>
      <c r="CH25" s="58" t="s">
        <v>3</v>
      </c>
      <c r="CI25" s="2">
        <v>1</v>
      </c>
      <c r="CJ25" s="17">
        <f t="shared" si="50"/>
        <v>0</v>
      </c>
      <c r="CK25" s="37"/>
      <c r="CL25" s="5"/>
      <c r="CM25" s="2">
        <v>1</v>
      </c>
      <c r="CN25" s="58" t="s">
        <v>3</v>
      </c>
      <c r="CO25" s="2">
        <v>2</v>
      </c>
      <c r="CP25" s="17">
        <f t="shared" si="51"/>
        <v>0</v>
      </c>
      <c r="CQ25" s="37"/>
      <c r="CR25" s="5"/>
      <c r="CS25" s="2">
        <v>1</v>
      </c>
      <c r="CT25" s="58" t="s">
        <v>3</v>
      </c>
      <c r="CU25" s="2">
        <v>2</v>
      </c>
      <c r="CV25" s="17">
        <f t="shared" si="52"/>
        <v>0</v>
      </c>
      <c r="CW25" s="37"/>
      <c r="CX25" s="5"/>
      <c r="CY25" s="2">
        <v>1</v>
      </c>
      <c r="CZ25" s="58" t="s">
        <v>3</v>
      </c>
      <c r="DA25" s="2">
        <v>2</v>
      </c>
      <c r="DB25" s="17">
        <f t="shared" si="53"/>
        <v>0</v>
      </c>
      <c r="DC25" s="37"/>
      <c r="DD25" s="5"/>
      <c r="DE25" s="2">
        <v>1</v>
      </c>
      <c r="DF25" s="58" t="s">
        <v>3</v>
      </c>
      <c r="DG25" s="2">
        <v>2</v>
      </c>
      <c r="DH25" s="17">
        <f t="shared" si="54"/>
        <v>0</v>
      </c>
      <c r="DI25" s="37"/>
      <c r="DJ25" s="5"/>
      <c r="DK25" s="2">
        <v>1</v>
      </c>
      <c r="DL25" s="58" t="s">
        <v>3</v>
      </c>
      <c r="DM25" s="2">
        <v>2</v>
      </c>
      <c r="DN25" s="17">
        <f t="shared" si="55"/>
        <v>0</v>
      </c>
      <c r="DO25" s="37"/>
      <c r="DP25" s="5"/>
      <c r="DQ25" s="2">
        <v>1</v>
      </c>
      <c r="DR25" s="58" t="s">
        <v>3</v>
      </c>
      <c r="DS25" s="2">
        <v>2</v>
      </c>
      <c r="DT25" s="17">
        <f t="shared" si="56"/>
        <v>0</v>
      </c>
      <c r="DU25" s="37"/>
      <c r="DV25" s="5"/>
      <c r="DW25" s="2">
        <v>1</v>
      </c>
      <c r="DX25" s="58" t="s">
        <v>3</v>
      </c>
      <c r="DY25" s="2">
        <v>2</v>
      </c>
      <c r="DZ25" s="17">
        <f t="shared" si="57"/>
        <v>0</v>
      </c>
      <c r="EA25" s="37"/>
      <c r="EB25" s="5"/>
      <c r="EC25" s="2">
        <v>0</v>
      </c>
      <c r="ED25" s="58" t="s">
        <v>3</v>
      </c>
      <c r="EE25" s="2">
        <v>1</v>
      </c>
      <c r="EF25" s="17">
        <f t="shared" si="58"/>
        <v>0</v>
      </c>
      <c r="EG25" s="37"/>
      <c r="EH25" s="5"/>
      <c r="EI25" s="2">
        <v>0</v>
      </c>
      <c r="EJ25" s="58" t="s">
        <v>3</v>
      </c>
      <c r="EK25" s="2">
        <v>2</v>
      </c>
      <c r="EL25" s="17">
        <f t="shared" si="59"/>
        <v>0</v>
      </c>
      <c r="EM25" s="37"/>
      <c r="EN25" s="5"/>
      <c r="EO25" s="2">
        <v>1</v>
      </c>
      <c r="EP25" s="58" t="s">
        <v>3</v>
      </c>
      <c r="EQ25" s="2">
        <v>1</v>
      </c>
      <c r="ER25" s="17">
        <f t="shared" si="60"/>
        <v>2</v>
      </c>
      <c r="ES25" s="37"/>
      <c r="ET25" s="5"/>
      <c r="EU25" s="2">
        <v>1</v>
      </c>
      <c r="EV25" s="58" t="s">
        <v>3</v>
      </c>
      <c r="EW25" s="2">
        <v>2</v>
      </c>
      <c r="EX25" s="17">
        <f t="shared" si="61"/>
        <v>0</v>
      </c>
      <c r="EY25" s="37"/>
      <c r="EZ25" s="5"/>
      <c r="FA25" s="2">
        <v>1</v>
      </c>
      <c r="FB25" s="58" t="s">
        <v>3</v>
      </c>
      <c r="FC25" s="2">
        <v>3</v>
      </c>
      <c r="FD25" s="17">
        <f t="shared" si="62"/>
        <v>0</v>
      </c>
      <c r="FE25" s="37"/>
      <c r="FF25" s="5"/>
      <c r="FG25" s="2">
        <v>1</v>
      </c>
      <c r="FH25" s="58" t="s">
        <v>3</v>
      </c>
      <c r="FI25" s="2">
        <v>2</v>
      </c>
      <c r="FJ25" s="17">
        <f t="shared" si="63"/>
        <v>0</v>
      </c>
      <c r="FK25" s="37"/>
      <c r="FL25" s="5"/>
      <c r="FM25" s="2">
        <v>1</v>
      </c>
      <c r="FN25" s="58" t="s">
        <v>3</v>
      </c>
      <c r="FO25" s="2">
        <v>2</v>
      </c>
      <c r="FP25" s="17">
        <f t="shared" si="64"/>
        <v>0</v>
      </c>
      <c r="FQ25" s="37"/>
      <c r="FR25" s="5"/>
      <c r="FS25" s="2">
        <v>1</v>
      </c>
      <c r="FT25" s="58" t="s">
        <v>3</v>
      </c>
      <c r="FU25" s="2">
        <v>1</v>
      </c>
      <c r="FV25" s="17">
        <f t="shared" si="65"/>
        <v>2</v>
      </c>
      <c r="FW25" s="37"/>
      <c r="FX25" s="5"/>
      <c r="FY25" s="2">
        <v>1</v>
      </c>
      <c r="FZ25" s="58" t="s">
        <v>3</v>
      </c>
      <c r="GA25" s="2">
        <v>2</v>
      </c>
      <c r="GB25" s="17">
        <f t="shared" si="66"/>
        <v>0</v>
      </c>
      <c r="GC25" s="37"/>
      <c r="GD25" s="5"/>
      <c r="GE25" s="2">
        <v>1</v>
      </c>
      <c r="GF25" s="58" t="s">
        <v>3</v>
      </c>
      <c r="GG25" s="2">
        <v>1</v>
      </c>
      <c r="GH25" s="17">
        <f t="shared" si="67"/>
        <v>2</v>
      </c>
      <c r="GI25" s="37"/>
      <c r="GJ25" s="5"/>
      <c r="GK25" s="2">
        <v>1</v>
      </c>
      <c r="GL25" s="58" t="s">
        <v>3</v>
      </c>
      <c r="GM25" s="2">
        <v>2</v>
      </c>
      <c r="GN25" s="17">
        <f t="shared" si="68"/>
        <v>0</v>
      </c>
      <c r="GO25" s="37"/>
      <c r="GP25" s="5"/>
      <c r="GQ25" s="2">
        <v>1</v>
      </c>
      <c r="GR25" s="58" t="s">
        <v>3</v>
      </c>
      <c r="GS25" s="2">
        <v>2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110</v>
      </c>
      <c r="B26" s="70" t="s">
        <v>72</v>
      </c>
      <c r="C26" s="78" t="s">
        <v>3</v>
      </c>
      <c r="D26" s="70" t="s">
        <v>70</v>
      </c>
      <c r="E26" s="54">
        <v>0</v>
      </c>
      <c r="F26" s="55" t="s">
        <v>3</v>
      </c>
      <c r="G26" s="55">
        <v>2</v>
      </c>
      <c r="I26" s="49">
        <f t="shared" si="35"/>
        <v>0</v>
      </c>
      <c r="J26" s="49">
        <f t="shared" si="36"/>
        <v>0</v>
      </c>
      <c r="K26" s="49">
        <f t="shared" si="37"/>
        <v>3</v>
      </c>
      <c r="L26" s="5"/>
      <c r="M26" s="2">
        <v>1</v>
      </c>
      <c r="N26" s="58" t="s">
        <v>3</v>
      </c>
      <c r="O26" s="2">
        <v>1</v>
      </c>
      <c r="P26" s="17">
        <f t="shared" si="38"/>
        <v>0</v>
      </c>
      <c r="Q26" s="35"/>
      <c r="R26" s="5"/>
      <c r="S26" s="2">
        <v>1</v>
      </c>
      <c r="T26" s="58" t="s">
        <v>3</v>
      </c>
      <c r="U26" s="2">
        <v>2</v>
      </c>
      <c r="V26" s="17">
        <f t="shared" si="39"/>
        <v>1</v>
      </c>
      <c r="W26" s="37"/>
      <c r="X26" s="5"/>
      <c r="Y26" s="2">
        <v>2</v>
      </c>
      <c r="Z26" s="58" t="s">
        <v>3</v>
      </c>
      <c r="AA26" s="2">
        <v>2</v>
      </c>
      <c r="AB26" s="17">
        <f t="shared" si="40"/>
        <v>0</v>
      </c>
      <c r="AC26" s="37"/>
      <c r="AD26" s="5"/>
      <c r="AE26" s="2">
        <v>2</v>
      </c>
      <c r="AF26" s="58" t="s">
        <v>3</v>
      </c>
      <c r="AG26" s="2">
        <v>1</v>
      </c>
      <c r="AH26" s="17">
        <f t="shared" si="41"/>
        <v>0</v>
      </c>
      <c r="AI26" s="37"/>
      <c r="AJ26" s="5"/>
      <c r="AK26" s="2">
        <v>2</v>
      </c>
      <c r="AL26" s="58" t="s">
        <v>3</v>
      </c>
      <c r="AM26" s="2">
        <v>2</v>
      </c>
      <c r="AN26" s="17">
        <f t="shared" si="42"/>
        <v>0</v>
      </c>
      <c r="AO26" s="37"/>
      <c r="AP26" s="5"/>
      <c r="AQ26" s="2">
        <v>1</v>
      </c>
      <c r="AR26" s="58" t="s">
        <v>3</v>
      </c>
      <c r="AS26" s="2">
        <v>2</v>
      </c>
      <c r="AT26" s="17">
        <f t="shared" si="43"/>
        <v>1</v>
      </c>
      <c r="AU26" s="37"/>
      <c r="AV26" s="5"/>
      <c r="AW26" s="2">
        <v>2</v>
      </c>
      <c r="AX26" s="58" t="s">
        <v>3</v>
      </c>
      <c r="AY26" s="2">
        <v>1</v>
      </c>
      <c r="AZ26" s="17">
        <f t="shared" si="44"/>
        <v>0</v>
      </c>
      <c r="BA26" s="37"/>
      <c r="BB26" s="5"/>
      <c r="BC26" s="2">
        <v>2</v>
      </c>
      <c r="BD26" s="58" t="s">
        <v>3</v>
      </c>
      <c r="BE26" s="2">
        <v>1</v>
      </c>
      <c r="BF26" s="17">
        <f t="shared" si="45"/>
        <v>0</v>
      </c>
      <c r="BG26" s="37"/>
      <c r="BH26" s="5"/>
      <c r="BI26" s="2">
        <v>2</v>
      </c>
      <c r="BJ26" s="58" t="s">
        <v>3</v>
      </c>
      <c r="BK26" s="2">
        <v>0</v>
      </c>
      <c r="BL26" s="17">
        <f t="shared" si="46"/>
        <v>0</v>
      </c>
      <c r="BM26" s="37"/>
      <c r="BN26" s="5"/>
      <c r="BO26" s="2">
        <v>2</v>
      </c>
      <c r="BP26" s="58" t="s">
        <v>3</v>
      </c>
      <c r="BQ26" s="2">
        <v>1</v>
      </c>
      <c r="BR26" s="17">
        <f t="shared" si="47"/>
        <v>0</v>
      </c>
      <c r="BS26" s="37"/>
      <c r="BT26" s="5"/>
      <c r="BU26" s="2">
        <v>1</v>
      </c>
      <c r="BV26" s="58" t="s">
        <v>3</v>
      </c>
      <c r="BW26" s="2">
        <v>1</v>
      </c>
      <c r="BX26" s="17">
        <f t="shared" si="48"/>
        <v>0</v>
      </c>
      <c r="BY26" s="37"/>
      <c r="BZ26" s="5"/>
      <c r="CA26" s="2">
        <v>1</v>
      </c>
      <c r="CB26" s="58" t="s">
        <v>3</v>
      </c>
      <c r="CC26" s="2">
        <v>0</v>
      </c>
      <c r="CD26" s="17">
        <f t="shared" si="49"/>
        <v>0</v>
      </c>
      <c r="CE26" s="37"/>
      <c r="CF26" s="5"/>
      <c r="CG26" s="2">
        <v>2</v>
      </c>
      <c r="CH26" s="58" t="s">
        <v>3</v>
      </c>
      <c r="CI26" s="2">
        <v>2</v>
      </c>
      <c r="CJ26" s="17">
        <f t="shared" si="50"/>
        <v>0</v>
      </c>
      <c r="CK26" s="37"/>
      <c r="CL26" s="5"/>
      <c r="CM26" s="2">
        <v>1</v>
      </c>
      <c r="CN26" s="58" t="s">
        <v>3</v>
      </c>
      <c r="CO26" s="2">
        <v>1</v>
      </c>
      <c r="CP26" s="17">
        <f t="shared" si="51"/>
        <v>0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0</v>
      </c>
      <c r="CW26" s="37"/>
      <c r="CX26" s="5"/>
      <c r="CY26" s="2">
        <v>2</v>
      </c>
      <c r="CZ26" s="58" t="s">
        <v>3</v>
      </c>
      <c r="DA26" s="2">
        <v>1</v>
      </c>
      <c r="DB26" s="17">
        <f t="shared" si="53"/>
        <v>0</v>
      </c>
      <c r="DC26" s="37"/>
      <c r="DD26" s="5"/>
      <c r="DE26" s="2">
        <v>2</v>
      </c>
      <c r="DF26" s="58" t="s">
        <v>3</v>
      </c>
      <c r="DG26" s="2">
        <v>1</v>
      </c>
      <c r="DH26" s="17">
        <f t="shared" si="54"/>
        <v>0</v>
      </c>
      <c r="DI26" s="37"/>
      <c r="DJ26" s="5"/>
      <c r="DK26" s="2">
        <v>2</v>
      </c>
      <c r="DL26" s="58" t="s">
        <v>3</v>
      </c>
      <c r="DM26" s="2">
        <v>1</v>
      </c>
      <c r="DN26" s="17">
        <f t="shared" si="55"/>
        <v>0</v>
      </c>
      <c r="DO26" s="37"/>
      <c r="DP26" s="5"/>
      <c r="DQ26" s="2">
        <v>2</v>
      </c>
      <c r="DR26" s="58" t="s">
        <v>3</v>
      </c>
      <c r="DS26" s="2">
        <v>2</v>
      </c>
      <c r="DT26" s="17">
        <f t="shared" si="56"/>
        <v>0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0</v>
      </c>
      <c r="EA26" s="37"/>
      <c r="EB26" s="5"/>
      <c r="EC26" s="2">
        <v>1</v>
      </c>
      <c r="ED26" s="58" t="s">
        <v>3</v>
      </c>
      <c r="EE26" s="2">
        <v>0</v>
      </c>
      <c r="EF26" s="17">
        <f t="shared" si="58"/>
        <v>0</v>
      </c>
      <c r="EG26" s="37"/>
      <c r="EH26" s="5"/>
      <c r="EI26" s="2">
        <v>2</v>
      </c>
      <c r="EJ26" s="58" t="s">
        <v>3</v>
      </c>
      <c r="EK26" s="2">
        <v>1</v>
      </c>
      <c r="EL26" s="17">
        <f t="shared" si="59"/>
        <v>0</v>
      </c>
      <c r="EM26" s="37"/>
      <c r="EN26" s="5"/>
      <c r="EO26" s="2">
        <v>2</v>
      </c>
      <c r="EP26" s="58" t="s">
        <v>3</v>
      </c>
      <c r="EQ26" s="2">
        <v>1</v>
      </c>
      <c r="ER26" s="17">
        <f t="shared" si="60"/>
        <v>0</v>
      </c>
      <c r="ES26" s="37"/>
      <c r="ET26" s="5"/>
      <c r="EU26" s="2">
        <v>4</v>
      </c>
      <c r="EV26" s="58" t="s">
        <v>3</v>
      </c>
      <c r="EW26" s="2">
        <v>2</v>
      </c>
      <c r="EX26" s="17">
        <f t="shared" si="61"/>
        <v>0</v>
      </c>
      <c r="EY26" s="37"/>
      <c r="EZ26" s="5"/>
      <c r="FA26" s="2">
        <v>1</v>
      </c>
      <c r="FB26" s="58" t="s">
        <v>3</v>
      </c>
      <c r="FC26" s="2">
        <v>1</v>
      </c>
      <c r="FD26" s="17">
        <f t="shared" si="62"/>
        <v>0</v>
      </c>
      <c r="FE26" s="37"/>
      <c r="FF26" s="5"/>
      <c r="FG26" s="2">
        <v>2</v>
      </c>
      <c r="FH26" s="58" t="s">
        <v>3</v>
      </c>
      <c r="FI26" s="2">
        <v>1</v>
      </c>
      <c r="FJ26" s="17">
        <f t="shared" si="63"/>
        <v>0</v>
      </c>
      <c r="FK26" s="37"/>
      <c r="FL26" s="5"/>
      <c r="FM26" s="2">
        <v>1</v>
      </c>
      <c r="FN26" s="58" t="s">
        <v>3</v>
      </c>
      <c r="FO26" s="2">
        <v>1</v>
      </c>
      <c r="FP26" s="17">
        <f t="shared" si="64"/>
        <v>0</v>
      </c>
      <c r="FQ26" s="37"/>
      <c r="FR26" s="5"/>
      <c r="FS26" s="2">
        <v>2</v>
      </c>
      <c r="FT26" s="58" t="s">
        <v>3</v>
      </c>
      <c r="FU26" s="2">
        <v>1</v>
      </c>
      <c r="FV26" s="17">
        <f t="shared" si="65"/>
        <v>0</v>
      </c>
      <c r="FW26" s="37"/>
      <c r="FX26" s="5"/>
      <c r="FY26" s="2">
        <v>2</v>
      </c>
      <c r="FZ26" s="58" t="s">
        <v>3</v>
      </c>
      <c r="GA26" s="2">
        <v>1</v>
      </c>
      <c r="GB26" s="17">
        <f t="shared" si="66"/>
        <v>0</v>
      </c>
      <c r="GC26" s="37"/>
      <c r="GD26" s="5"/>
      <c r="GE26" s="2">
        <v>1</v>
      </c>
      <c r="GF26" s="58" t="s">
        <v>3</v>
      </c>
      <c r="GG26" s="2">
        <v>2</v>
      </c>
      <c r="GH26" s="17">
        <f t="shared" si="67"/>
        <v>1</v>
      </c>
      <c r="GI26" s="37"/>
      <c r="GJ26" s="5"/>
      <c r="GK26" s="2">
        <v>2</v>
      </c>
      <c r="GL26" s="58" t="s">
        <v>3</v>
      </c>
      <c r="GM26" s="2">
        <v>1</v>
      </c>
      <c r="GN26" s="17">
        <f t="shared" si="68"/>
        <v>0</v>
      </c>
      <c r="GO26" s="37"/>
      <c r="GP26" s="5"/>
      <c r="GQ26" s="2">
        <v>2</v>
      </c>
      <c r="GR26" s="58" t="s">
        <v>3</v>
      </c>
      <c r="GS26" s="2">
        <v>2</v>
      </c>
      <c r="GT26" s="17">
        <f t="shared" si="69"/>
        <v>0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78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s="7" t="s">
        <v>68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SUM(P11)</f>
        <v>2</v>
      </c>
      <c r="O31" s="25">
        <f>SUM(P19,P20)</f>
        <v>1</v>
      </c>
      <c r="P31" s="26">
        <f>SUM(N31,O31)</f>
        <v>3</v>
      </c>
      <c r="Q31" s="27">
        <f>SUM(P31)</f>
        <v>3</v>
      </c>
      <c r="S31" s="80" t="s">
        <v>6</v>
      </c>
      <c r="T31" s="25">
        <f>SUM(V11)</f>
        <v>0</v>
      </c>
      <c r="U31" s="25">
        <f>SUM(V19,V20)</f>
        <v>1</v>
      </c>
      <c r="V31" s="26">
        <f>SUM(T31,U31)</f>
        <v>1</v>
      </c>
      <c r="W31" s="27">
        <f>SUM(V31)</f>
        <v>1</v>
      </c>
      <c r="Y31" s="80" t="s">
        <v>6</v>
      </c>
      <c r="Z31" s="25">
        <f>SUM(AB11)</f>
        <v>0</v>
      </c>
      <c r="AA31" s="25">
        <f>SUM(AB19,AB20)</f>
        <v>0</v>
      </c>
      <c r="AB31" s="26">
        <f>SUM(Z31,AA31)</f>
        <v>0</v>
      </c>
      <c r="AC31" s="27">
        <f>SUM(AB31)</f>
        <v>0</v>
      </c>
      <c r="AE31" s="80" t="s">
        <v>6</v>
      </c>
      <c r="AF31" s="25">
        <f>SUM(AH11)</f>
        <v>0</v>
      </c>
      <c r="AG31" s="25">
        <f>SUM(AH19,AH20)</f>
        <v>1</v>
      </c>
      <c r="AH31" s="26">
        <f>SUM(AF31,AG31)</f>
        <v>1</v>
      </c>
      <c r="AI31" s="27">
        <f>SUM(AH31)</f>
        <v>1</v>
      </c>
      <c r="AK31" s="80" t="s">
        <v>6</v>
      </c>
      <c r="AL31" s="25">
        <f>SUM(AN11)</f>
        <v>3</v>
      </c>
      <c r="AM31" s="25">
        <f>SUM(AN19,AN20)</f>
        <v>2</v>
      </c>
      <c r="AN31" s="26">
        <f>SUM(AL31,AM31)</f>
        <v>5</v>
      </c>
      <c r="AO31" s="27">
        <f>SUM(AN31)</f>
        <v>5</v>
      </c>
      <c r="AQ31" s="80" t="s">
        <v>6</v>
      </c>
      <c r="AR31" s="25">
        <f>SUM(AT11)</f>
        <v>0</v>
      </c>
      <c r="AS31" s="25">
        <f>SUM(AT19,AT20)</f>
        <v>2</v>
      </c>
      <c r="AT31" s="26">
        <f>SUM(AR31,AS31)</f>
        <v>2</v>
      </c>
      <c r="AU31" s="27">
        <f>SUM(AT31)</f>
        <v>2</v>
      </c>
      <c r="AW31" s="80" t="s">
        <v>6</v>
      </c>
      <c r="AX31" s="25">
        <f>SUM(AZ11)</f>
        <v>3</v>
      </c>
      <c r="AY31" s="25">
        <f>SUM(AZ19,AZ20)</f>
        <v>2</v>
      </c>
      <c r="AZ31" s="26">
        <f>SUM(AX31,AY31)</f>
        <v>5</v>
      </c>
      <c r="BA31" s="27">
        <f>SUM(AZ31)</f>
        <v>5</v>
      </c>
      <c r="BC31" s="80" t="s">
        <v>6</v>
      </c>
      <c r="BD31" s="25">
        <f>SUM(BF11)</f>
        <v>3</v>
      </c>
      <c r="BE31" s="25">
        <f>SUM(BF19,BF20)</f>
        <v>0</v>
      </c>
      <c r="BF31" s="26">
        <f>SUM(BD31,BE31)</f>
        <v>3</v>
      </c>
      <c r="BG31" s="27">
        <f>SUM(BF31)</f>
        <v>3</v>
      </c>
      <c r="BI31" s="80" t="s">
        <v>6</v>
      </c>
      <c r="BJ31" s="25">
        <f>SUM(BL11)</f>
        <v>0</v>
      </c>
      <c r="BK31" s="25">
        <f>SUM(BL19,BL20)</f>
        <v>3</v>
      </c>
      <c r="BL31" s="26">
        <f>SUM(BJ31,BK31)</f>
        <v>3</v>
      </c>
      <c r="BM31" s="27">
        <f>SUM(BL31)</f>
        <v>3</v>
      </c>
      <c r="BO31" s="80" t="s">
        <v>6</v>
      </c>
      <c r="BP31" s="25">
        <f>SUM(BR11)</f>
        <v>0</v>
      </c>
      <c r="BQ31" s="25">
        <f>SUM(BR19,BR20)</f>
        <v>1</v>
      </c>
      <c r="BR31" s="26">
        <f>SUM(BP31,BQ31)</f>
        <v>1</v>
      </c>
      <c r="BS31" s="27">
        <f>SUM(BR31)</f>
        <v>1</v>
      </c>
      <c r="BU31" s="80" t="s">
        <v>6</v>
      </c>
      <c r="BV31" s="25">
        <f>SUM(BX11)</f>
        <v>2</v>
      </c>
      <c r="BW31" s="25">
        <f>SUM(BX19,BX20)</f>
        <v>1</v>
      </c>
      <c r="BX31" s="26">
        <f>SUM(BV31,BW31)</f>
        <v>3</v>
      </c>
      <c r="BY31" s="27">
        <f>SUM(BX31)</f>
        <v>3</v>
      </c>
      <c r="CA31" s="80" t="s">
        <v>6</v>
      </c>
      <c r="CB31" s="25">
        <f>SUM(CD11)</f>
        <v>0</v>
      </c>
      <c r="CC31" s="25">
        <f>SUM(CD19,CD20)</f>
        <v>2</v>
      </c>
      <c r="CD31" s="26">
        <f>SUM(CB31,CC31)</f>
        <v>2</v>
      </c>
      <c r="CE31" s="27">
        <f>SUM(CD31)</f>
        <v>2</v>
      </c>
      <c r="CG31" s="80" t="s">
        <v>6</v>
      </c>
      <c r="CH31" s="25">
        <f>SUM(CJ11)</f>
        <v>0</v>
      </c>
      <c r="CI31" s="25">
        <f>SUM(CJ19,CJ20)</f>
        <v>2</v>
      </c>
      <c r="CJ31" s="26">
        <f>SUM(CH31,CI31)</f>
        <v>2</v>
      </c>
      <c r="CK31" s="27">
        <f>SUM(CJ31)</f>
        <v>2</v>
      </c>
      <c r="CM31" s="80" t="s">
        <v>6</v>
      </c>
      <c r="CN31" s="25">
        <f>SUM(CP11)</f>
        <v>0</v>
      </c>
      <c r="CO31" s="25">
        <f>SUM(CP19,CP20)</f>
        <v>1</v>
      </c>
      <c r="CP31" s="26">
        <f>SUM(CN31,CO31)</f>
        <v>1</v>
      </c>
      <c r="CQ31" s="27">
        <f>SUM(CP31)</f>
        <v>1</v>
      </c>
      <c r="CS31" s="80" t="s">
        <v>6</v>
      </c>
      <c r="CT31" s="25">
        <f>SUM(CV11)</f>
        <v>3</v>
      </c>
      <c r="CU31" s="25">
        <f>SUM(CV19,CV20)</f>
        <v>2</v>
      </c>
      <c r="CV31" s="26">
        <f>SUM(CT31,CU31)</f>
        <v>5</v>
      </c>
      <c r="CW31" s="27">
        <f>SUM(CV31)</f>
        <v>5</v>
      </c>
      <c r="CY31" s="80" t="s">
        <v>6</v>
      </c>
      <c r="CZ31" s="25">
        <f>SUM(DB11)</f>
        <v>0</v>
      </c>
      <c r="DA31" s="25">
        <f>SUM(DB19,DB20)</f>
        <v>1</v>
      </c>
      <c r="DB31" s="26">
        <f>SUM(CZ31,DA31)</f>
        <v>1</v>
      </c>
      <c r="DC31" s="27">
        <f>SUM(DB31)</f>
        <v>1</v>
      </c>
      <c r="DE31" s="80" t="s">
        <v>6</v>
      </c>
      <c r="DF31" s="25">
        <f>SUM(DH11)</f>
        <v>0</v>
      </c>
      <c r="DG31" s="25">
        <f>SUM(DH19,DH20)</f>
        <v>1</v>
      </c>
      <c r="DH31" s="26">
        <f>SUM(DF31,DG31)</f>
        <v>1</v>
      </c>
      <c r="DI31" s="27">
        <f>SUM(DH31)</f>
        <v>1</v>
      </c>
      <c r="DK31" s="80" t="s">
        <v>6</v>
      </c>
      <c r="DL31" s="25">
        <f>SUM(DN11)</f>
        <v>0</v>
      </c>
      <c r="DM31" s="25">
        <f>SUM(DN19,DN20)</f>
        <v>1</v>
      </c>
      <c r="DN31" s="26">
        <f>SUM(DL31,DM31)</f>
        <v>1</v>
      </c>
      <c r="DO31" s="27">
        <f>SUM(DN31)</f>
        <v>1</v>
      </c>
      <c r="DQ31" s="80" t="s">
        <v>6</v>
      </c>
      <c r="DR31" s="25">
        <f>SUM(DT11)</f>
        <v>0</v>
      </c>
      <c r="DS31" s="25">
        <f>SUM(DT19,DT20)</f>
        <v>1</v>
      </c>
      <c r="DT31" s="26">
        <f>SUM(DR31,DS31)</f>
        <v>1</v>
      </c>
      <c r="DU31" s="27">
        <f>SUM(DT31)</f>
        <v>1</v>
      </c>
      <c r="DW31" s="80" t="s">
        <v>6</v>
      </c>
      <c r="DX31" s="25">
        <f>SUM(DZ11)</f>
        <v>0</v>
      </c>
      <c r="DY31" s="25">
        <f>SUM(DZ19,DZ20)</f>
        <v>2</v>
      </c>
      <c r="DZ31" s="26">
        <f>SUM(DX31,DY31)</f>
        <v>2</v>
      </c>
      <c r="EA31" s="27">
        <f>SUM(DZ31)</f>
        <v>2</v>
      </c>
      <c r="EC31" s="80" t="s">
        <v>6</v>
      </c>
      <c r="ED31" s="25">
        <f>SUM(EF11)</f>
        <v>3</v>
      </c>
      <c r="EE31" s="25">
        <f>SUM(EF19,EF20)</f>
        <v>2</v>
      </c>
      <c r="EF31" s="26">
        <f>SUM(ED31,EE31)</f>
        <v>5</v>
      </c>
      <c r="EG31" s="27">
        <f>SUM(EF31)</f>
        <v>5</v>
      </c>
      <c r="EI31" s="80" t="s">
        <v>6</v>
      </c>
      <c r="EJ31" s="25">
        <f>SUM(EL11)</f>
        <v>0</v>
      </c>
      <c r="EK31" s="25">
        <f>SUM(EL19,EL20)</f>
        <v>1</v>
      </c>
      <c r="EL31" s="26">
        <f>SUM(EJ31,EK31)</f>
        <v>1</v>
      </c>
      <c r="EM31" s="27">
        <f>SUM(EL31)</f>
        <v>1</v>
      </c>
      <c r="EO31" s="80" t="s">
        <v>6</v>
      </c>
      <c r="EP31" s="25">
        <f>SUM(ER11)</f>
        <v>3</v>
      </c>
      <c r="EQ31" s="25">
        <f>SUM(ER19,ER20)</f>
        <v>0</v>
      </c>
      <c r="ER31" s="26">
        <f>SUM(EP31,EQ31)</f>
        <v>3</v>
      </c>
      <c r="ES31" s="27">
        <f>SUM(ER31)</f>
        <v>3</v>
      </c>
      <c r="EU31" s="80" t="s">
        <v>6</v>
      </c>
      <c r="EV31" s="25">
        <f>SUM(EX11)</f>
        <v>0</v>
      </c>
      <c r="EW31" s="25">
        <f>SUM(EX19,EX20)</f>
        <v>2</v>
      </c>
      <c r="EX31" s="26">
        <f>SUM(EV31,EW31)</f>
        <v>2</v>
      </c>
      <c r="EY31" s="27">
        <f>SUM(EX31)</f>
        <v>2</v>
      </c>
      <c r="FA31" s="80" t="s">
        <v>6</v>
      </c>
      <c r="FB31" s="25">
        <f>SUM(FD11)</f>
        <v>0</v>
      </c>
      <c r="FC31" s="25">
        <f>SUM(FD19,FD20)</f>
        <v>2</v>
      </c>
      <c r="FD31" s="26">
        <f>SUM(FB31,FC31)</f>
        <v>2</v>
      </c>
      <c r="FE31" s="27">
        <f>SUM(FD31)</f>
        <v>2</v>
      </c>
      <c r="FG31" s="80" t="s">
        <v>6</v>
      </c>
      <c r="FH31" s="25">
        <f>SUM(FJ11)</f>
        <v>0</v>
      </c>
      <c r="FI31" s="25">
        <f>SUM(FJ19,FJ20)</f>
        <v>1</v>
      </c>
      <c r="FJ31" s="26">
        <f>SUM(FH31,FI31)</f>
        <v>1</v>
      </c>
      <c r="FK31" s="27">
        <f>SUM(FJ31)</f>
        <v>1</v>
      </c>
      <c r="FM31" s="80" t="s">
        <v>6</v>
      </c>
      <c r="FN31" s="25">
        <f>SUM(FP11)</f>
        <v>0</v>
      </c>
      <c r="FO31" s="25">
        <f>SUM(FP19,FP20)</f>
        <v>3</v>
      </c>
      <c r="FP31" s="26">
        <f>SUM(FN31,FO31)</f>
        <v>3</v>
      </c>
      <c r="FQ31" s="27">
        <f>SUM(FP31)</f>
        <v>3</v>
      </c>
      <c r="FS31" s="80" t="s">
        <v>6</v>
      </c>
      <c r="FT31" s="25">
        <f>SUM(FV11)</f>
        <v>3</v>
      </c>
      <c r="FU31" s="25">
        <f>SUM(FV19,FV20)</f>
        <v>1</v>
      </c>
      <c r="FV31" s="26">
        <f>SUM(FT31,FU31)</f>
        <v>4</v>
      </c>
      <c r="FW31" s="27">
        <f>SUM(FV31)</f>
        <v>4</v>
      </c>
      <c r="FY31" s="80" t="s">
        <v>6</v>
      </c>
      <c r="FZ31" s="25">
        <f>SUM(GB11)</f>
        <v>0</v>
      </c>
      <c r="GA31" s="25">
        <f>SUM(GB19,GB20)</f>
        <v>2</v>
      </c>
      <c r="GB31" s="26">
        <f>SUM(FZ31,GA31)</f>
        <v>2</v>
      </c>
      <c r="GC31" s="27">
        <f>SUM(GB31)</f>
        <v>2</v>
      </c>
      <c r="GE31" s="80" t="s">
        <v>6</v>
      </c>
      <c r="GF31" s="25">
        <f>SUM(GH11)</f>
        <v>0</v>
      </c>
      <c r="GG31" s="25">
        <f>SUM(GH19,GH20)</f>
        <v>0</v>
      </c>
      <c r="GH31" s="26">
        <f>SUM(GF31,GG31)</f>
        <v>0</v>
      </c>
      <c r="GI31" s="27">
        <f>SUM(GH31)</f>
        <v>0</v>
      </c>
      <c r="GK31" s="80" t="s">
        <v>6</v>
      </c>
      <c r="GL31" s="25">
        <f>SUM(GN11)</f>
        <v>3</v>
      </c>
      <c r="GM31" s="25">
        <f>SUM(GN19,GN20)</f>
        <v>1</v>
      </c>
      <c r="GN31" s="26">
        <f>SUM(GL31,GM31)</f>
        <v>4</v>
      </c>
      <c r="GO31" s="27">
        <f>SUM(GN31)</f>
        <v>4</v>
      </c>
      <c r="GQ31" s="80" t="s">
        <v>6</v>
      </c>
      <c r="GR31" s="25">
        <f>SUM(GT11)</f>
        <v>2</v>
      </c>
      <c r="GS31" s="25">
        <f>SUM(GT19,GT20)</f>
        <v>1</v>
      </c>
      <c r="GT31" s="26">
        <f>SUM(GR31,GS31)</f>
        <v>3</v>
      </c>
      <c r="GU31" s="27">
        <f>SUM(GT31)</f>
        <v>3</v>
      </c>
    </row>
    <row r="32" spans="1:204" x14ac:dyDescent="0.2">
      <c r="B32" s="7" t="s">
        <v>69</v>
      </c>
      <c r="C32" s="8"/>
      <c r="D32" s="7"/>
      <c r="E32"/>
      <c r="F32"/>
      <c r="G32"/>
      <c r="H32" s="90" t="s">
        <v>77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SUM(P6,P7,P8,P9,P12,P13)</f>
        <v>7</v>
      </c>
      <c r="O33" s="25">
        <f>SUM(P22,P24,P25,P26)</f>
        <v>5</v>
      </c>
      <c r="P33" s="26">
        <f>SUM(N33,O33)</f>
        <v>12</v>
      </c>
      <c r="Q33" s="27">
        <f>SUM(P33,Q31)</f>
        <v>15</v>
      </c>
      <c r="S33" s="80" t="s">
        <v>8</v>
      </c>
      <c r="T33" s="80">
        <f>SUM(V6,V7,V8,V9,V12,V13)</f>
        <v>9</v>
      </c>
      <c r="U33" s="25">
        <f>SUM(V22,V24,V25,V26)</f>
        <v>5</v>
      </c>
      <c r="V33" s="26">
        <f>SUM(T33,U33)</f>
        <v>14</v>
      </c>
      <c r="W33" s="27">
        <f>SUM(V33,W31)</f>
        <v>15</v>
      </c>
      <c r="Y33" s="80" t="s">
        <v>8</v>
      </c>
      <c r="Z33" s="80">
        <f>SUM(AB6,AB7,AB8,AB9,AB12,AB13)</f>
        <v>6</v>
      </c>
      <c r="AA33" s="25">
        <f>SUM(AB22,AB24,AB25,AB26)</f>
        <v>3</v>
      </c>
      <c r="AB33" s="26">
        <f>SUM(Z33,AA33)</f>
        <v>9</v>
      </c>
      <c r="AC33" s="27">
        <f>SUM(AB33,AC31)</f>
        <v>9</v>
      </c>
      <c r="AE33" s="80" t="s">
        <v>8</v>
      </c>
      <c r="AF33" s="80">
        <f>SUM(AH6,AH7,AH8,AH9,AH12,AH13)</f>
        <v>3</v>
      </c>
      <c r="AG33" s="25">
        <f>SUM(AH22,AH24,AH25,AH26)</f>
        <v>5</v>
      </c>
      <c r="AH33" s="26">
        <f>SUM(AF33,AG33)</f>
        <v>8</v>
      </c>
      <c r="AI33" s="27">
        <f>SUM(AH33,AI31)</f>
        <v>9</v>
      </c>
      <c r="AK33" s="80" t="s">
        <v>8</v>
      </c>
      <c r="AL33" s="80">
        <f>SUM(AN6,AN7,AN8,AN9,AN12,AN13)</f>
        <v>2</v>
      </c>
      <c r="AM33" s="25">
        <f>SUM(AN22,AN24,AN25,AN26)</f>
        <v>7</v>
      </c>
      <c r="AN33" s="26">
        <f>SUM(AL33,AM33)</f>
        <v>9</v>
      </c>
      <c r="AO33" s="27">
        <f>SUM(AN33,AO31)</f>
        <v>14</v>
      </c>
      <c r="AQ33" s="80" t="s">
        <v>8</v>
      </c>
      <c r="AR33" s="80">
        <f>SUM(AT6,AT7,AT8,AT9,AT12,AT13)</f>
        <v>6</v>
      </c>
      <c r="AS33" s="25">
        <f>SUM(AT22,AT24,AT25,AT26)</f>
        <v>3</v>
      </c>
      <c r="AT33" s="26">
        <f>SUM(AR33,AS33)</f>
        <v>9</v>
      </c>
      <c r="AU33" s="27">
        <f>SUM(AT33,AU31)</f>
        <v>11</v>
      </c>
      <c r="AW33" s="80" t="s">
        <v>8</v>
      </c>
      <c r="AX33" s="80">
        <f>SUM(AZ6,AZ7,AZ8,AZ9,AZ12,AZ13)</f>
        <v>4</v>
      </c>
      <c r="AY33" s="25">
        <f>SUM(AZ22,AZ24,AZ25,AZ26)</f>
        <v>3</v>
      </c>
      <c r="AZ33" s="26">
        <f>SUM(AX33,AY33)</f>
        <v>7</v>
      </c>
      <c r="BA33" s="27">
        <f>SUM(AZ33,BA31)</f>
        <v>12</v>
      </c>
      <c r="BC33" s="80" t="s">
        <v>8</v>
      </c>
      <c r="BD33" s="80">
        <f>SUM(BF6,BF7,BF8,BF9,BF12,BF13)</f>
        <v>3</v>
      </c>
      <c r="BE33" s="25">
        <f>SUM(BF22,BF24,BF25,BF26)</f>
        <v>1</v>
      </c>
      <c r="BF33" s="26">
        <f>SUM(BD33,BE33)</f>
        <v>4</v>
      </c>
      <c r="BG33" s="27">
        <f>SUM(BF33,BG31)</f>
        <v>7</v>
      </c>
      <c r="BI33" s="80" t="s">
        <v>8</v>
      </c>
      <c r="BJ33" s="80">
        <f>SUM(BL6,BL7,BL8,BL9,BL12,BL13)</f>
        <v>9</v>
      </c>
      <c r="BK33" s="25">
        <f>SUM(BL22,BL24,BL25,BL26)</f>
        <v>4</v>
      </c>
      <c r="BL33" s="26">
        <f>SUM(BJ33,BK33)</f>
        <v>13</v>
      </c>
      <c r="BM33" s="27">
        <f>SUM(BL33,BM31)</f>
        <v>16</v>
      </c>
      <c r="BO33" s="80" t="s">
        <v>8</v>
      </c>
      <c r="BP33" s="80">
        <f>SUM(BR6,BR7,BR8,BR9,BR12,BR13)</f>
        <v>3</v>
      </c>
      <c r="BQ33" s="25">
        <f>SUM(BR22,BR24,BR25,BR26)</f>
        <v>5</v>
      </c>
      <c r="BR33" s="26">
        <f>SUM(BP33,BQ33)</f>
        <v>8</v>
      </c>
      <c r="BS33" s="27">
        <f>SUM(BR33,BS31)</f>
        <v>9</v>
      </c>
      <c r="BU33" s="80" t="s">
        <v>8</v>
      </c>
      <c r="BV33" s="80">
        <f>SUM(BX6,BX7,BX8,BX9,BX12,BX13)</f>
        <v>8</v>
      </c>
      <c r="BW33" s="25">
        <f>SUM(BX22,BX24,BX25,BX26)</f>
        <v>3</v>
      </c>
      <c r="BX33" s="26">
        <f>SUM(BV33,BW33)</f>
        <v>11</v>
      </c>
      <c r="BY33" s="27">
        <f>SUM(BX33,BY31)</f>
        <v>14</v>
      </c>
      <c r="CA33" s="80" t="s">
        <v>8</v>
      </c>
      <c r="CB33" s="80">
        <f>SUM(CD6,CD7,CD8,CD9,CD12,CD13)</f>
        <v>3</v>
      </c>
      <c r="CC33" s="25">
        <f>SUM(CD22,CD24,CD25,CD26)</f>
        <v>1</v>
      </c>
      <c r="CD33" s="26">
        <f>SUM(CB33,CC33)</f>
        <v>4</v>
      </c>
      <c r="CE33" s="27">
        <f>SUM(CD33,CE31)</f>
        <v>6</v>
      </c>
      <c r="CG33" s="80" t="s">
        <v>8</v>
      </c>
      <c r="CH33" s="80">
        <f>SUM(CJ6,CJ7,CJ8,CJ9,CJ12,CJ13)</f>
        <v>4</v>
      </c>
      <c r="CI33" s="25">
        <f>SUM(CJ22,CJ24,CJ25,CJ26)</f>
        <v>3</v>
      </c>
      <c r="CJ33" s="26">
        <f>SUM(CH33,CI33)</f>
        <v>7</v>
      </c>
      <c r="CK33" s="27">
        <f>SUM(CJ33,CK31)</f>
        <v>9</v>
      </c>
      <c r="CM33" s="80" t="s">
        <v>8</v>
      </c>
      <c r="CN33" s="80">
        <f>SUM(CP6,CP7,CP8,CP9,CP12,CP13)</f>
        <v>5</v>
      </c>
      <c r="CO33" s="25">
        <f>SUM(CP22,CP24,CP25,CP26)</f>
        <v>5</v>
      </c>
      <c r="CP33" s="26">
        <f>SUM(CN33,CO33)</f>
        <v>10</v>
      </c>
      <c r="CQ33" s="27">
        <f>SUM(CP33,CQ31)</f>
        <v>11</v>
      </c>
      <c r="CS33" s="80" t="s">
        <v>8</v>
      </c>
      <c r="CT33" s="80">
        <f>SUM(CV6,CV7,CV8,CV9,CV12,CV13)</f>
        <v>10</v>
      </c>
      <c r="CU33" s="25">
        <f>SUM(CV22,CV24,CV25,CV26)</f>
        <v>4</v>
      </c>
      <c r="CV33" s="26">
        <f>SUM(CT33,CU33)</f>
        <v>14</v>
      </c>
      <c r="CW33" s="27">
        <f>SUM(CV33,CW31)</f>
        <v>19</v>
      </c>
      <c r="CY33" s="80" t="s">
        <v>8</v>
      </c>
      <c r="CZ33" s="80">
        <f>SUM(DB6,DB7,DB8,DB9,DB12,DB13)</f>
        <v>7</v>
      </c>
      <c r="DA33" s="25">
        <f>SUM(DB22,DB24,DB25,DB26)</f>
        <v>4</v>
      </c>
      <c r="DB33" s="26">
        <f>SUM(CZ33,DA33)</f>
        <v>11</v>
      </c>
      <c r="DC33" s="27">
        <f>SUM(DB33,DC31)</f>
        <v>12</v>
      </c>
      <c r="DE33" s="80" t="s">
        <v>8</v>
      </c>
      <c r="DF33" s="80">
        <f>SUM(DH6,DH7,DH8,DH9,DH12,DH13)</f>
        <v>9</v>
      </c>
      <c r="DG33" s="25">
        <f>SUM(DH22,DH24,DH25,DH26)</f>
        <v>3</v>
      </c>
      <c r="DH33" s="26">
        <f>SUM(DF33,DG33)</f>
        <v>12</v>
      </c>
      <c r="DI33" s="27">
        <f>SUM(DH33,DI31)</f>
        <v>13</v>
      </c>
      <c r="DK33" s="80" t="s">
        <v>8</v>
      </c>
      <c r="DL33" s="80">
        <f>SUM(DN6,DN7,DN8,DN9,DN12,DN13)</f>
        <v>5</v>
      </c>
      <c r="DM33" s="25">
        <f>SUM(DN22,DN24,DN25,DN26)</f>
        <v>4</v>
      </c>
      <c r="DN33" s="26">
        <f>SUM(DL33,DM33)</f>
        <v>9</v>
      </c>
      <c r="DO33" s="27">
        <f>SUM(DN33,DO31)</f>
        <v>10</v>
      </c>
      <c r="DQ33" s="80" t="s">
        <v>8</v>
      </c>
      <c r="DR33" s="80">
        <f>SUM(DT6,DT7,DT8,DT9,DT12,DT13)</f>
        <v>3</v>
      </c>
      <c r="DS33" s="25">
        <f>SUM(DT22,DT24,DT25,DT26)</f>
        <v>3</v>
      </c>
      <c r="DT33" s="26">
        <f>SUM(DR33,DS33)</f>
        <v>6</v>
      </c>
      <c r="DU33" s="27">
        <f>SUM(DT33,DU31)</f>
        <v>7</v>
      </c>
      <c r="DW33" s="80" t="s">
        <v>8</v>
      </c>
      <c r="DX33" s="80">
        <f>SUM(DZ6,DZ7,DZ8,DZ9,DZ12,DZ13)</f>
        <v>5</v>
      </c>
      <c r="DY33" s="25">
        <f>SUM(DZ22,DZ24,DZ25,DZ26)</f>
        <v>4</v>
      </c>
      <c r="DZ33" s="26">
        <f>SUM(DX33,DY33)</f>
        <v>9</v>
      </c>
      <c r="EA33" s="27">
        <f>SUM(DZ33,EA31)</f>
        <v>11</v>
      </c>
      <c r="EC33" s="80" t="s">
        <v>8</v>
      </c>
      <c r="ED33" s="80">
        <f>SUM(EF6,EF7,EF8,EF9,EF12,EF13)</f>
        <v>5</v>
      </c>
      <c r="EE33" s="25">
        <f>SUM(EF22,EF24,EF25,EF26)</f>
        <v>3</v>
      </c>
      <c r="EF33" s="26">
        <f>SUM(ED33,EE33)</f>
        <v>8</v>
      </c>
      <c r="EG33" s="27">
        <f>SUM(EF33,EG31)</f>
        <v>13</v>
      </c>
      <c r="EI33" s="80" t="s">
        <v>8</v>
      </c>
      <c r="EJ33" s="80">
        <f>SUM(EL6,EL7,EL8,EL9,EL12,EL13)</f>
        <v>9</v>
      </c>
      <c r="EK33" s="25">
        <f>SUM(EL22,EL24,EL25,EL26)</f>
        <v>3</v>
      </c>
      <c r="EL33" s="26">
        <f>SUM(EJ33,EK33)</f>
        <v>12</v>
      </c>
      <c r="EM33" s="27">
        <f>SUM(EL33,EM31)</f>
        <v>13</v>
      </c>
      <c r="EO33" s="80" t="s">
        <v>8</v>
      </c>
      <c r="EP33" s="80">
        <f>SUM(ER6,ER7,ER8,ER9,ER12,ER13)</f>
        <v>5</v>
      </c>
      <c r="EQ33" s="25">
        <f>SUM(ER22,ER24,ER25,ER26)</f>
        <v>2</v>
      </c>
      <c r="ER33" s="26">
        <f>SUM(EP33,EQ33)</f>
        <v>7</v>
      </c>
      <c r="ES33" s="27">
        <f>SUM(ER33,ES31)</f>
        <v>10</v>
      </c>
      <c r="EU33" s="80" t="s">
        <v>8</v>
      </c>
      <c r="EV33" s="80">
        <f>SUM(EX6,EX7,EX8,EX9,EX12,EX13)</f>
        <v>6</v>
      </c>
      <c r="EW33" s="25">
        <f>SUM(EX22,EX24,EX25,EX26)</f>
        <v>1</v>
      </c>
      <c r="EX33" s="26">
        <f>SUM(EV33,EW33)</f>
        <v>7</v>
      </c>
      <c r="EY33" s="27">
        <f>SUM(EX33,EY31)</f>
        <v>9</v>
      </c>
      <c r="FA33" s="80" t="s">
        <v>8</v>
      </c>
      <c r="FB33" s="80">
        <f>SUM(FD6,FD7,FD8,FD9,FD12,FD13)</f>
        <v>5</v>
      </c>
      <c r="FC33" s="25">
        <f>SUM(FD22,FD24,FD25,FD26)</f>
        <v>5</v>
      </c>
      <c r="FD33" s="26">
        <f>SUM(FB33,FC33)</f>
        <v>10</v>
      </c>
      <c r="FE33" s="27">
        <f>SUM(FD33,FE31)</f>
        <v>12</v>
      </c>
      <c r="FG33" s="80" t="s">
        <v>8</v>
      </c>
      <c r="FH33" s="80">
        <f>SUM(FJ6,FJ7,FJ8,FJ9,FJ12,FJ13)</f>
        <v>5</v>
      </c>
      <c r="FI33" s="25">
        <f>SUM(FJ22,FJ24,FJ25,FJ26)</f>
        <v>1</v>
      </c>
      <c r="FJ33" s="26">
        <f>SUM(FH33,FI33)</f>
        <v>6</v>
      </c>
      <c r="FK33" s="27">
        <f>SUM(FJ33,FK31)</f>
        <v>7</v>
      </c>
      <c r="FM33" s="80" t="s">
        <v>8</v>
      </c>
      <c r="FN33" s="80">
        <f>SUM(FP6,FP7,FP8,FP9,FP12,FP13)</f>
        <v>3</v>
      </c>
      <c r="FO33" s="25">
        <f>SUM(FP22,FP24,FP25,FP26)</f>
        <v>4</v>
      </c>
      <c r="FP33" s="26">
        <f>SUM(FN33,FO33)</f>
        <v>7</v>
      </c>
      <c r="FQ33" s="27">
        <f>SUM(FP33,FQ31)</f>
        <v>10</v>
      </c>
      <c r="FS33" s="80" t="s">
        <v>8</v>
      </c>
      <c r="FT33" s="80">
        <f>SUM(FV6,FV7,FV8,FV9,FV12,FV13)</f>
        <v>7</v>
      </c>
      <c r="FU33" s="25">
        <f>SUM(FV22,FV24,FV25,FV26)</f>
        <v>6</v>
      </c>
      <c r="FV33" s="26">
        <f>SUM(FT33,FU33)</f>
        <v>13</v>
      </c>
      <c r="FW33" s="27">
        <f>SUM(FV33,FW31)</f>
        <v>17</v>
      </c>
      <c r="FY33" s="80" t="s">
        <v>8</v>
      </c>
      <c r="FZ33" s="80">
        <f>SUM(GB6,GB7,GB8,GB9,GB12,GB13)</f>
        <v>2</v>
      </c>
      <c r="GA33" s="25">
        <f>SUM(GB22,GB24,GB25,GB26)</f>
        <v>4</v>
      </c>
      <c r="GB33" s="26">
        <f>SUM(FZ33,GA33)</f>
        <v>6</v>
      </c>
      <c r="GC33" s="27">
        <f>SUM(GB33,GC31)</f>
        <v>8</v>
      </c>
      <c r="GE33" s="80" t="s">
        <v>8</v>
      </c>
      <c r="GF33" s="80">
        <f>SUM(GH6,GH7,GH8,GH9,GH12,GH13)</f>
        <v>3</v>
      </c>
      <c r="GG33" s="25">
        <f>SUM(GH22,GH24,GH25,GH26)</f>
        <v>4</v>
      </c>
      <c r="GH33" s="26">
        <f>SUM(GF33,GG33)</f>
        <v>7</v>
      </c>
      <c r="GI33" s="27">
        <f>SUM(GH33,GI31)</f>
        <v>7</v>
      </c>
      <c r="GK33" s="80" t="s">
        <v>8</v>
      </c>
      <c r="GL33" s="80">
        <f>SUM(GN6,GN7,GN8,GN9,GN12,GN13)</f>
        <v>2</v>
      </c>
      <c r="GM33" s="25">
        <f>SUM(GN22,GN24,GN25,GN26)</f>
        <v>3</v>
      </c>
      <c r="GN33" s="26">
        <f>SUM(GL33,GM33)</f>
        <v>5</v>
      </c>
      <c r="GO33" s="27">
        <f>SUM(GN33,GO31)</f>
        <v>9</v>
      </c>
      <c r="GQ33" s="80" t="s">
        <v>8</v>
      </c>
      <c r="GR33" s="80">
        <f>SUM(GT6,GT7,GT8,GT9,GT12,GT13)</f>
        <v>8</v>
      </c>
      <c r="GS33" s="25">
        <f>SUM(GT22,GT24,GT25,GT26)</f>
        <v>5</v>
      </c>
      <c r="GT33" s="26">
        <f>SUM(GR33,GS33)</f>
        <v>13</v>
      </c>
      <c r="GU33" s="27">
        <f>SUM(GT33,GU31)</f>
        <v>16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SUM(P10,P14)</f>
        <v>3</v>
      </c>
      <c r="O35" s="25">
        <f>SUM(P18,P21,P23)</f>
        <v>2</v>
      </c>
      <c r="P35" s="26">
        <f>SUM(N35,O35)</f>
        <v>5</v>
      </c>
      <c r="Q35" s="27">
        <f>SUM(P35,Q33)</f>
        <v>20</v>
      </c>
      <c r="S35" s="80" t="s">
        <v>11</v>
      </c>
      <c r="T35" s="25">
        <f>SUM(V10,V14)</f>
        <v>3</v>
      </c>
      <c r="U35" s="25">
        <f>SUM(V18,V21,V23)</f>
        <v>3</v>
      </c>
      <c r="V35" s="26">
        <f>SUM(T35,U35)</f>
        <v>6</v>
      </c>
      <c r="W35" s="27">
        <f>SUM(V35,W33)</f>
        <v>21</v>
      </c>
      <c r="Y35" s="80" t="s">
        <v>11</v>
      </c>
      <c r="Z35" s="25">
        <f>SUM(AB10,AB14)</f>
        <v>1</v>
      </c>
      <c r="AA35" s="25">
        <f>SUM(AB18,AB21,AB23)</f>
        <v>4</v>
      </c>
      <c r="AB35" s="26">
        <f>SUM(Z35,AA35)</f>
        <v>5</v>
      </c>
      <c r="AC35" s="27">
        <f>SUM(AB35,AC33)</f>
        <v>14</v>
      </c>
      <c r="AE35" s="80" t="s">
        <v>11</v>
      </c>
      <c r="AF35" s="25">
        <f>SUM(AH10,AH14)</f>
        <v>3</v>
      </c>
      <c r="AG35" s="25">
        <f>SUM(AH18,AH21,AH23)</f>
        <v>1</v>
      </c>
      <c r="AH35" s="26">
        <f>SUM(AF35,AG35)</f>
        <v>4</v>
      </c>
      <c r="AI35" s="27">
        <f>SUM(AH35,AI33)</f>
        <v>13</v>
      </c>
      <c r="AK35" s="80" t="s">
        <v>11</v>
      </c>
      <c r="AL35" s="25">
        <f>SUM(AN10,AN14)</f>
        <v>1</v>
      </c>
      <c r="AM35" s="25">
        <f>SUM(AN18,AN21,AN23)</f>
        <v>1</v>
      </c>
      <c r="AN35" s="26">
        <f>SUM(AL35,AM35)</f>
        <v>2</v>
      </c>
      <c r="AO35" s="27">
        <f>SUM(AN35,AO33)</f>
        <v>16</v>
      </c>
      <c r="AQ35" s="80" t="s">
        <v>11</v>
      </c>
      <c r="AR35" s="25">
        <f>SUM(AT10,AT14)</f>
        <v>3</v>
      </c>
      <c r="AS35" s="25">
        <f>SUM(AT18,AT21,AT23)</f>
        <v>2</v>
      </c>
      <c r="AT35" s="26">
        <f>SUM(AR35,AS35)</f>
        <v>5</v>
      </c>
      <c r="AU35" s="27">
        <f>SUM(AT35,AU33)</f>
        <v>16</v>
      </c>
      <c r="AW35" s="80" t="s">
        <v>11</v>
      </c>
      <c r="AX35" s="25">
        <f>SUM(AZ10,AZ14)</f>
        <v>1</v>
      </c>
      <c r="AY35" s="25">
        <f>SUM(AZ18,AZ21,AZ23)</f>
        <v>1</v>
      </c>
      <c r="AZ35" s="26">
        <f>SUM(AX35,AY35)</f>
        <v>2</v>
      </c>
      <c r="BA35" s="27">
        <f>SUM(AZ35,BA33)</f>
        <v>14</v>
      </c>
      <c r="BC35" s="80" t="s">
        <v>11</v>
      </c>
      <c r="BD35" s="25">
        <f>SUM(BF10,BF14)</f>
        <v>1</v>
      </c>
      <c r="BE35" s="25">
        <f>SUM(BF18,BF21,BF23)</f>
        <v>1</v>
      </c>
      <c r="BF35" s="26">
        <f>SUM(BD35,BE35)</f>
        <v>2</v>
      </c>
      <c r="BG35" s="27">
        <f>SUM(BF35,BG33)</f>
        <v>9</v>
      </c>
      <c r="BI35" s="80" t="s">
        <v>11</v>
      </c>
      <c r="BJ35" s="25">
        <f>SUM(BL10,BL14)</f>
        <v>4</v>
      </c>
      <c r="BK35" s="25">
        <f>SUM(BL18,BL21,BL23)</f>
        <v>1</v>
      </c>
      <c r="BL35" s="26">
        <f>SUM(BJ35,BK35)</f>
        <v>5</v>
      </c>
      <c r="BM35" s="27">
        <f>SUM(BL35,BM33)</f>
        <v>21</v>
      </c>
      <c r="BO35" s="80" t="s">
        <v>11</v>
      </c>
      <c r="BP35" s="25">
        <f>SUM(BR10,BR14)</f>
        <v>3</v>
      </c>
      <c r="BQ35" s="25">
        <f>SUM(BR18,BR21,BR23)</f>
        <v>4</v>
      </c>
      <c r="BR35" s="26">
        <f>SUM(BP35,BQ35)</f>
        <v>7</v>
      </c>
      <c r="BS35" s="27">
        <f>SUM(BR35,BS33)</f>
        <v>16</v>
      </c>
      <c r="BU35" s="80" t="s">
        <v>11</v>
      </c>
      <c r="BV35" s="25">
        <f>SUM(BX10,BX14)</f>
        <v>5</v>
      </c>
      <c r="BW35" s="25">
        <f>SUM(BX18,BX21,BX23)</f>
        <v>3</v>
      </c>
      <c r="BX35" s="26">
        <f>SUM(BV35,BW35)</f>
        <v>8</v>
      </c>
      <c r="BY35" s="27">
        <f>SUM(BX35,BY33)</f>
        <v>22</v>
      </c>
      <c r="CA35" s="80" t="s">
        <v>11</v>
      </c>
      <c r="CB35" s="25">
        <f>SUM(CD10,CD14)</f>
        <v>1</v>
      </c>
      <c r="CC35" s="25">
        <f>SUM(CD18,CD21,CD23)</f>
        <v>1</v>
      </c>
      <c r="CD35" s="26">
        <f>SUM(CB35,CC35)</f>
        <v>2</v>
      </c>
      <c r="CE35" s="27">
        <f>SUM(CD35,CE33)</f>
        <v>8</v>
      </c>
      <c r="CG35" s="80" t="s">
        <v>11</v>
      </c>
      <c r="CH35" s="25">
        <f>SUM(CJ10,CJ14)</f>
        <v>3</v>
      </c>
      <c r="CI35" s="25">
        <f>SUM(CJ18,CJ21,CJ23)</f>
        <v>1</v>
      </c>
      <c r="CJ35" s="26">
        <f>SUM(CH35,CI35)</f>
        <v>4</v>
      </c>
      <c r="CK35" s="27">
        <f>SUM(CJ35,CK33)</f>
        <v>13</v>
      </c>
      <c r="CM35" s="80" t="s">
        <v>11</v>
      </c>
      <c r="CN35" s="25">
        <f>SUM(CP10,CP14)</f>
        <v>1</v>
      </c>
      <c r="CO35" s="25">
        <f>SUM(CP18,CP21,CP23)</f>
        <v>2</v>
      </c>
      <c r="CP35" s="26">
        <f>SUM(CN35,CO35)</f>
        <v>3</v>
      </c>
      <c r="CQ35" s="27">
        <f>SUM(CP35,CQ33)</f>
        <v>14</v>
      </c>
      <c r="CS35" s="80" t="s">
        <v>11</v>
      </c>
      <c r="CT35" s="25">
        <f>SUM(CV10,CV14)</f>
        <v>3</v>
      </c>
      <c r="CU35" s="25">
        <f>SUM(CV18,CV21,CV23)</f>
        <v>1</v>
      </c>
      <c r="CV35" s="26">
        <f>SUM(CT35,CU35)</f>
        <v>4</v>
      </c>
      <c r="CW35" s="27">
        <f>SUM(CV35,CW33)</f>
        <v>23</v>
      </c>
      <c r="CY35" s="80" t="s">
        <v>11</v>
      </c>
      <c r="CZ35" s="25">
        <f>SUM(DB10,DB14)</f>
        <v>4</v>
      </c>
      <c r="DA35" s="25">
        <f>SUM(DB18,DB21,DB23)</f>
        <v>3</v>
      </c>
      <c r="DB35" s="26">
        <f>SUM(CZ35,DA35)</f>
        <v>7</v>
      </c>
      <c r="DC35" s="27">
        <f>SUM(DB35,DC33)</f>
        <v>19</v>
      </c>
      <c r="DE35" s="80" t="s">
        <v>11</v>
      </c>
      <c r="DF35" s="25">
        <f>SUM(DH10,DH14)</f>
        <v>0</v>
      </c>
      <c r="DG35" s="25">
        <f>SUM(DH18,DH21,DH23)</f>
        <v>2</v>
      </c>
      <c r="DH35" s="26">
        <f>SUM(DF35,DG35)</f>
        <v>2</v>
      </c>
      <c r="DI35" s="27">
        <f>SUM(DH35,DI33)</f>
        <v>15</v>
      </c>
      <c r="DK35" s="80" t="s">
        <v>11</v>
      </c>
      <c r="DL35" s="25">
        <f>SUM(DN10,DN14)</f>
        <v>5</v>
      </c>
      <c r="DM35" s="25">
        <f>SUM(DN18,DN21,DN23)</f>
        <v>2</v>
      </c>
      <c r="DN35" s="26">
        <f>SUM(DL35,DM35)</f>
        <v>7</v>
      </c>
      <c r="DO35" s="27">
        <f>SUM(DN35,DO33)</f>
        <v>17</v>
      </c>
      <c r="DQ35" s="80" t="s">
        <v>11</v>
      </c>
      <c r="DR35" s="25">
        <f>SUM(DT10,DT14)</f>
        <v>2</v>
      </c>
      <c r="DS35" s="25">
        <f>SUM(DT18,DT21,DT23)</f>
        <v>4</v>
      </c>
      <c r="DT35" s="26">
        <f>SUM(DR35,DS35)</f>
        <v>6</v>
      </c>
      <c r="DU35" s="27">
        <f>SUM(DT35,DU33)</f>
        <v>13</v>
      </c>
      <c r="DW35" s="80" t="s">
        <v>11</v>
      </c>
      <c r="DX35" s="25">
        <f>SUM(DZ10,DZ14)</f>
        <v>1</v>
      </c>
      <c r="DY35" s="25">
        <f>SUM(DZ18,DZ21,DZ23)</f>
        <v>4</v>
      </c>
      <c r="DZ35" s="26">
        <f>SUM(DX35,DY35)</f>
        <v>5</v>
      </c>
      <c r="EA35" s="27">
        <f>SUM(DZ35,EA33)</f>
        <v>16</v>
      </c>
      <c r="EC35" s="80" t="s">
        <v>11</v>
      </c>
      <c r="ED35" s="25">
        <f>SUM(EF10,EF14)</f>
        <v>1</v>
      </c>
      <c r="EE35" s="25">
        <f>SUM(EF18,EF21,EF23)</f>
        <v>2</v>
      </c>
      <c r="EF35" s="26">
        <f>SUM(ED35,EE35)</f>
        <v>3</v>
      </c>
      <c r="EG35" s="27">
        <f>SUM(EF35,EG33)</f>
        <v>16</v>
      </c>
      <c r="EI35" s="80" t="s">
        <v>11</v>
      </c>
      <c r="EJ35" s="25">
        <f>SUM(EL10,EL14)</f>
        <v>6</v>
      </c>
      <c r="EK35" s="25">
        <f>SUM(EL18,EL21,EL23)</f>
        <v>2</v>
      </c>
      <c r="EL35" s="26">
        <f>SUM(EJ35,EK35)</f>
        <v>8</v>
      </c>
      <c r="EM35" s="27">
        <f>SUM(EL35,EM33)</f>
        <v>21</v>
      </c>
      <c r="EO35" s="80" t="s">
        <v>11</v>
      </c>
      <c r="EP35" s="25">
        <f>SUM(ER10,ER14)</f>
        <v>1</v>
      </c>
      <c r="EQ35" s="25">
        <f>SUM(ER18,ER21,ER23)</f>
        <v>4</v>
      </c>
      <c r="ER35" s="26">
        <f>SUM(EP35,EQ35)</f>
        <v>5</v>
      </c>
      <c r="ES35" s="27">
        <f>SUM(ER35,ES33)</f>
        <v>15</v>
      </c>
      <c r="EU35" s="80" t="s">
        <v>11</v>
      </c>
      <c r="EV35" s="25">
        <f>SUM(EX10,EX14)</f>
        <v>3</v>
      </c>
      <c r="EW35" s="25">
        <f>SUM(EX18,EX21,EX23)</f>
        <v>4</v>
      </c>
      <c r="EX35" s="26">
        <f>SUM(EV35,EW35)</f>
        <v>7</v>
      </c>
      <c r="EY35" s="27">
        <f>SUM(EX35,EY33)</f>
        <v>16</v>
      </c>
      <c r="FA35" s="80" t="s">
        <v>11</v>
      </c>
      <c r="FB35" s="25">
        <f>SUM(FD10,FD14)</f>
        <v>1</v>
      </c>
      <c r="FC35" s="25">
        <f>SUM(FD18,FD21,FD23)</f>
        <v>1</v>
      </c>
      <c r="FD35" s="26">
        <f>SUM(FB35,FC35)</f>
        <v>2</v>
      </c>
      <c r="FE35" s="27">
        <f>SUM(FD35,FE33)</f>
        <v>14</v>
      </c>
      <c r="FG35" s="80" t="s">
        <v>11</v>
      </c>
      <c r="FH35" s="25">
        <f>SUM(FJ10,FJ14)</f>
        <v>1</v>
      </c>
      <c r="FI35" s="25">
        <f>SUM(FJ18,FJ21,FJ23)</f>
        <v>3</v>
      </c>
      <c r="FJ35" s="26">
        <f>SUM(FH35,FI35)</f>
        <v>4</v>
      </c>
      <c r="FK35" s="27">
        <f>SUM(FJ35,FK33)</f>
        <v>11</v>
      </c>
      <c r="FM35" s="80" t="s">
        <v>11</v>
      </c>
      <c r="FN35" s="25">
        <f>SUM(FP10,FP14)</f>
        <v>3</v>
      </c>
      <c r="FO35" s="25">
        <f>SUM(FP18,FP21,FP23)</f>
        <v>0</v>
      </c>
      <c r="FP35" s="26">
        <f>SUM(FN35,FO35)</f>
        <v>3</v>
      </c>
      <c r="FQ35" s="27">
        <f>SUM(FP35,FQ33)</f>
        <v>13</v>
      </c>
      <c r="FS35" s="80" t="s">
        <v>11</v>
      </c>
      <c r="FT35" s="25">
        <f>SUM(FV10,FV14)</f>
        <v>3</v>
      </c>
      <c r="FU35" s="25">
        <f>SUM(FV18,FV21,FV23)</f>
        <v>2</v>
      </c>
      <c r="FV35" s="26">
        <f>SUM(FT35,FU35)</f>
        <v>5</v>
      </c>
      <c r="FW35" s="27">
        <f>SUM(FV35,FW33)</f>
        <v>22</v>
      </c>
      <c r="FY35" s="80" t="s">
        <v>11</v>
      </c>
      <c r="FZ35" s="25">
        <f>SUM(GB10,GB14)</f>
        <v>1</v>
      </c>
      <c r="GA35" s="25">
        <f>SUM(GB18,GB21,GB23)</f>
        <v>2</v>
      </c>
      <c r="GB35" s="26">
        <f>SUM(FZ35,GA35)</f>
        <v>3</v>
      </c>
      <c r="GC35" s="27">
        <f>SUM(GB35,GC33)</f>
        <v>11</v>
      </c>
      <c r="GE35" s="80" t="s">
        <v>11</v>
      </c>
      <c r="GF35" s="25">
        <f>SUM(GH10,GH14)</f>
        <v>0</v>
      </c>
      <c r="GG35" s="25">
        <f>SUM(GH18,GH21,GH23)</f>
        <v>4</v>
      </c>
      <c r="GH35" s="26">
        <f>SUM(GF35,GG35)</f>
        <v>4</v>
      </c>
      <c r="GI35" s="27">
        <f>SUM(GH35,GI33)</f>
        <v>11</v>
      </c>
      <c r="GK35" s="80" t="s">
        <v>11</v>
      </c>
      <c r="GL35" s="25">
        <f>SUM(GN10,GN14)</f>
        <v>1</v>
      </c>
      <c r="GM35" s="25">
        <f>SUM(GN18,GN21,GN23)</f>
        <v>2</v>
      </c>
      <c r="GN35" s="26">
        <f>SUM(GL35,GM35)</f>
        <v>3</v>
      </c>
      <c r="GO35" s="27">
        <f>SUM(GN35,GO33)</f>
        <v>12</v>
      </c>
      <c r="GQ35" s="80" t="s">
        <v>11</v>
      </c>
      <c r="GR35" s="25">
        <f>SUM(GT10,GT14)</f>
        <v>3</v>
      </c>
      <c r="GS35" s="25">
        <f>SUM(GT18,GT21,GT23)</f>
        <v>1</v>
      </c>
      <c r="GT35" s="26">
        <f>SUM(GR35,GS35)</f>
        <v>4</v>
      </c>
      <c r="GU35" s="27">
        <f>SUM(GT35,GU33)</f>
        <v>20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20</v>
      </c>
      <c r="S37" s="81" t="s">
        <v>12</v>
      </c>
      <c r="T37" s="28"/>
      <c r="U37" s="28"/>
      <c r="V37" s="29">
        <f>SUM(T37,U37)</f>
        <v>0</v>
      </c>
      <c r="W37" s="30">
        <f>SUM(V37,W35)</f>
        <v>21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14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13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16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16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14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9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21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16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22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8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13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14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23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19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15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17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13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16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16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21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15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16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14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11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13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22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11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11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12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20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12</v>
      </c>
      <c r="O39" s="25">
        <f>SUM(O31,O33,O35,O37)</f>
        <v>8</v>
      </c>
      <c r="P39" s="26"/>
      <c r="Q39" s="30">
        <f>SUM(Q37)</f>
        <v>20</v>
      </c>
      <c r="S39" s="25" t="s">
        <v>13</v>
      </c>
      <c r="T39" s="25">
        <f>SUM(T31,T33,T35,T37)</f>
        <v>12</v>
      </c>
      <c r="U39" s="25">
        <f>SUM(U31,U33,U35,U37)</f>
        <v>9</v>
      </c>
      <c r="V39" s="26"/>
      <c r="W39" s="30">
        <f>SUM(W37)</f>
        <v>21</v>
      </c>
      <c r="Y39" s="25" t="s">
        <v>13</v>
      </c>
      <c r="Z39" s="25">
        <f>SUM(Z31,Z33,Z35,Z37)</f>
        <v>7</v>
      </c>
      <c r="AA39" s="25">
        <f>SUM(AA31,AA33,AA35,AA37)</f>
        <v>7</v>
      </c>
      <c r="AB39" s="26"/>
      <c r="AC39" s="30">
        <f>SUM(AC37)</f>
        <v>14</v>
      </c>
      <c r="AE39" s="25" t="s">
        <v>13</v>
      </c>
      <c r="AF39" s="25">
        <f>SUM(AF31,AF33,AF35,AF37)</f>
        <v>6</v>
      </c>
      <c r="AG39" s="25">
        <f>SUM(AG31,AG33,AG35,AG37)</f>
        <v>7</v>
      </c>
      <c r="AH39" s="26"/>
      <c r="AI39" s="30">
        <f>SUM(AI37)</f>
        <v>13</v>
      </c>
      <c r="AK39" s="25" t="s">
        <v>13</v>
      </c>
      <c r="AL39" s="25">
        <f>SUM(AL31,AL33,AL35,AL37)</f>
        <v>6</v>
      </c>
      <c r="AM39" s="25">
        <f>SUM(AM31,AM33,AM35,AM37)</f>
        <v>10</v>
      </c>
      <c r="AN39" s="26"/>
      <c r="AO39" s="30">
        <f>SUM(AO37)</f>
        <v>16</v>
      </c>
      <c r="AQ39" s="25" t="s">
        <v>13</v>
      </c>
      <c r="AR39" s="25">
        <f>SUM(AR31,AR33,AR35,AR37)</f>
        <v>9</v>
      </c>
      <c r="AS39" s="25">
        <f>SUM(AS31,AS33,AS35,AS37)</f>
        <v>7</v>
      </c>
      <c r="AT39" s="26"/>
      <c r="AU39" s="30">
        <f>SUM(AU37)</f>
        <v>16</v>
      </c>
      <c r="AW39" s="25" t="s">
        <v>13</v>
      </c>
      <c r="AX39" s="25">
        <f>SUM(AX31,AX33,AX35,AX37)</f>
        <v>8</v>
      </c>
      <c r="AY39" s="25">
        <f>SUM(AY31,AY33,AY35,AY37)</f>
        <v>6</v>
      </c>
      <c r="AZ39" s="26"/>
      <c r="BA39" s="30">
        <f>SUM(BA37)</f>
        <v>14</v>
      </c>
      <c r="BC39" s="25" t="s">
        <v>13</v>
      </c>
      <c r="BD39" s="25">
        <f>SUM(BD31,BD33,BD35,BD37)</f>
        <v>7</v>
      </c>
      <c r="BE39" s="25">
        <f>SUM(BE31,BE33,BE35,BE37)</f>
        <v>2</v>
      </c>
      <c r="BF39" s="26"/>
      <c r="BG39" s="30">
        <f>SUM(BG37)</f>
        <v>9</v>
      </c>
      <c r="BI39" s="25" t="s">
        <v>13</v>
      </c>
      <c r="BJ39" s="25">
        <f>SUM(BJ31,BJ33,BJ35,BJ37)</f>
        <v>13</v>
      </c>
      <c r="BK39" s="25">
        <f>SUM(BK31,BK33,BK35,BK37)</f>
        <v>8</v>
      </c>
      <c r="BL39" s="26"/>
      <c r="BM39" s="30">
        <f>SUM(BM37)</f>
        <v>21</v>
      </c>
      <c r="BO39" s="25" t="s">
        <v>13</v>
      </c>
      <c r="BP39" s="25">
        <f>SUM(BP31,BP33,BP35,BP37)</f>
        <v>6</v>
      </c>
      <c r="BQ39" s="25">
        <f>SUM(BQ31,BQ33,BQ35,BQ37)</f>
        <v>10</v>
      </c>
      <c r="BR39" s="26"/>
      <c r="BS39" s="30">
        <f>SUM(BS37)</f>
        <v>16</v>
      </c>
      <c r="BU39" s="25" t="s">
        <v>13</v>
      </c>
      <c r="BV39" s="25">
        <f>SUM(BV31,BV33,BV35,BV37)</f>
        <v>15</v>
      </c>
      <c r="BW39" s="25">
        <f>SUM(BW31,BW33,BW35,BW37)</f>
        <v>7</v>
      </c>
      <c r="BX39" s="26"/>
      <c r="BY39" s="30">
        <f>SUM(BY37)</f>
        <v>22</v>
      </c>
      <c r="CA39" s="25" t="s">
        <v>13</v>
      </c>
      <c r="CB39" s="25">
        <f>SUM(CB31,CB33,CB35,CB37)</f>
        <v>4</v>
      </c>
      <c r="CC39" s="25">
        <f>SUM(CC31,CC33,CC35,CC37)</f>
        <v>4</v>
      </c>
      <c r="CD39" s="26"/>
      <c r="CE39" s="30">
        <f>SUM(CE37)</f>
        <v>8</v>
      </c>
      <c r="CG39" s="25" t="s">
        <v>13</v>
      </c>
      <c r="CH39" s="25">
        <f>SUM(CH31,CH33,CH35,CH37)</f>
        <v>7</v>
      </c>
      <c r="CI39" s="25">
        <f>SUM(CI31,CI33,CI35,CI37)</f>
        <v>6</v>
      </c>
      <c r="CJ39" s="26"/>
      <c r="CK39" s="30">
        <f>SUM(CK37)</f>
        <v>13</v>
      </c>
      <c r="CM39" s="25" t="s">
        <v>13</v>
      </c>
      <c r="CN39" s="25">
        <f>SUM(CN31,CN33,CN35,CN37)</f>
        <v>6</v>
      </c>
      <c r="CO39" s="25">
        <f>SUM(CO31,CO33,CO35,CO37)</f>
        <v>8</v>
      </c>
      <c r="CP39" s="26"/>
      <c r="CQ39" s="30">
        <f>SUM(CQ37)</f>
        <v>14</v>
      </c>
      <c r="CS39" s="25" t="s">
        <v>13</v>
      </c>
      <c r="CT39" s="25">
        <f>SUM(CT31,CT33,CT35,CT37)</f>
        <v>16</v>
      </c>
      <c r="CU39" s="25">
        <f>SUM(CU31,CU33,CU35,CU37)</f>
        <v>7</v>
      </c>
      <c r="CV39" s="26"/>
      <c r="CW39" s="30">
        <f>SUM(CW37)</f>
        <v>23</v>
      </c>
      <c r="CY39" s="25" t="s">
        <v>13</v>
      </c>
      <c r="CZ39" s="25">
        <f>SUM(CZ31,CZ33,CZ35,CZ37)</f>
        <v>11</v>
      </c>
      <c r="DA39" s="25">
        <f>SUM(DA31,DA33,DA35,DA37)</f>
        <v>8</v>
      </c>
      <c r="DB39" s="26"/>
      <c r="DC39" s="30">
        <f>SUM(DC37)</f>
        <v>19</v>
      </c>
      <c r="DE39" s="25" t="s">
        <v>13</v>
      </c>
      <c r="DF39" s="25">
        <f>SUM(DF31,DF33,DF35,DF37)</f>
        <v>9</v>
      </c>
      <c r="DG39" s="25">
        <f>SUM(DG31,DG33,DG35,DG37)</f>
        <v>6</v>
      </c>
      <c r="DH39" s="26"/>
      <c r="DI39" s="30">
        <f>SUM(DI37)</f>
        <v>15</v>
      </c>
      <c r="DK39" s="25" t="s">
        <v>13</v>
      </c>
      <c r="DL39" s="25">
        <f>SUM(DL31,DL33,DL35,DL37)</f>
        <v>10</v>
      </c>
      <c r="DM39" s="25">
        <f>SUM(DM31,DM33,DM35,DM37)</f>
        <v>7</v>
      </c>
      <c r="DN39" s="26"/>
      <c r="DO39" s="30">
        <f>SUM(DO37)</f>
        <v>17</v>
      </c>
      <c r="DQ39" s="25" t="s">
        <v>13</v>
      </c>
      <c r="DR39" s="25">
        <f>SUM(DR31,DR33,DR35,DR37)</f>
        <v>5</v>
      </c>
      <c r="DS39" s="25">
        <f>SUM(DS31,DS33,DS35,DS37)</f>
        <v>8</v>
      </c>
      <c r="DT39" s="26"/>
      <c r="DU39" s="30">
        <f>SUM(DU37)</f>
        <v>13</v>
      </c>
      <c r="DW39" s="25" t="s">
        <v>13</v>
      </c>
      <c r="DX39" s="25">
        <f>SUM(DX31,DX33,DX35,DX37)</f>
        <v>6</v>
      </c>
      <c r="DY39" s="25">
        <f>SUM(DY31,DY33,DY35,DY37)</f>
        <v>10</v>
      </c>
      <c r="DZ39" s="26"/>
      <c r="EA39" s="30">
        <f>SUM(EA37)</f>
        <v>16</v>
      </c>
      <c r="EC39" s="25" t="s">
        <v>13</v>
      </c>
      <c r="ED39" s="25">
        <f>SUM(ED31,ED33,ED35,ED37)</f>
        <v>9</v>
      </c>
      <c r="EE39" s="25">
        <f>SUM(EE31,EE33,EE35,EE37)</f>
        <v>7</v>
      </c>
      <c r="EF39" s="26"/>
      <c r="EG39" s="30">
        <f>SUM(EG37)</f>
        <v>16</v>
      </c>
      <c r="EI39" s="25" t="s">
        <v>13</v>
      </c>
      <c r="EJ39" s="25">
        <f>SUM(EJ31,EJ33,EJ35,EJ37)</f>
        <v>15</v>
      </c>
      <c r="EK39" s="25">
        <f>SUM(EK31,EK33,EK35,EK37)</f>
        <v>6</v>
      </c>
      <c r="EL39" s="26"/>
      <c r="EM39" s="30">
        <f>SUM(EM37)</f>
        <v>21</v>
      </c>
      <c r="EO39" s="25" t="s">
        <v>13</v>
      </c>
      <c r="EP39" s="25">
        <f>SUM(EP31,EP33,EP35,EP37)</f>
        <v>9</v>
      </c>
      <c r="EQ39" s="25">
        <f>SUM(EQ31,EQ33,EQ35,EQ37)</f>
        <v>6</v>
      </c>
      <c r="ER39" s="26"/>
      <c r="ES39" s="30">
        <f>SUM(ES37)</f>
        <v>15</v>
      </c>
      <c r="EU39" s="25" t="s">
        <v>13</v>
      </c>
      <c r="EV39" s="25">
        <f>SUM(EV31,EV33,EV35,EV37)</f>
        <v>9</v>
      </c>
      <c r="EW39" s="25">
        <f>SUM(EW31,EW33,EW35,EW37)</f>
        <v>7</v>
      </c>
      <c r="EX39" s="26"/>
      <c r="EY39" s="30">
        <f>SUM(EY37)</f>
        <v>16</v>
      </c>
      <c r="FA39" s="25" t="s">
        <v>13</v>
      </c>
      <c r="FB39" s="25">
        <f>SUM(FB31,FB33,FB35,FB37)</f>
        <v>6</v>
      </c>
      <c r="FC39" s="25">
        <f>SUM(FC31,FC33,FC35,FC37)</f>
        <v>8</v>
      </c>
      <c r="FD39" s="26"/>
      <c r="FE39" s="30">
        <f>SUM(FE37)</f>
        <v>14</v>
      </c>
      <c r="FG39" s="25" t="s">
        <v>13</v>
      </c>
      <c r="FH39" s="25">
        <f>SUM(FH31,FH33,FH35,FH37)</f>
        <v>6</v>
      </c>
      <c r="FI39" s="25">
        <f>SUM(FI31,FI33,FI35,FI37)</f>
        <v>5</v>
      </c>
      <c r="FJ39" s="26"/>
      <c r="FK39" s="30">
        <f>SUM(FK37)</f>
        <v>11</v>
      </c>
      <c r="FM39" s="25" t="s">
        <v>13</v>
      </c>
      <c r="FN39" s="25">
        <f>SUM(FN31,FN33,FN35,FN37)</f>
        <v>6</v>
      </c>
      <c r="FO39" s="25">
        <f>SUM(FO31,FO33,FO35,FO37)</f>
        <v>7</v>
      </c>
      <c r="FP39" s="26"/>
      <c r="FQ39" s="30">
        <f>SUM(FQ37)</f>
        <v>13</v>
      </c>
      <c r="FS39" s="25" t="s">
        <v>13</v>
      </c>
      <c r="FT39" s="25">
        <f>SUM(FT31,FT33,FT35,FT37)</f>
        <v>13</v>
      </c>
      <c r="FU39" s="25">
        <f>SUM(FU31,FU33,FU35,FU37)</f>
        <v>9</v>
      </c>
      <c r="FV39" s="26"/>
      <c r="FW39" s="30">
        <f>SUM(FW37)</f>
        <v>22</v>
      </c>
      <c r="FY39" s="25" t="s">
        <v>13</v>
      </c>
      <c r="FZ39" s="25">
        <f>SUM(FZ31,FZ33,FZ35,FZ37)</f>
        <v>3</v>
      </c>
      <c r="GA39" s="25">
        <f>SUM(GA31,GA33,GA35,GA37)</f>
        <v>8</v>
      </c>
      <c r="GB39" s="26"/>
      <c r="GC39" s="30">
        <f>SUM(GC37)</f>
        <v>11</v>
      </c>
      <c r="GE39" s="25" t="s">
        <v>13</v>
      </c>
      <c r="GF39" s="25">
        <f>SUM(GF31,GF33,GF35,GF37)</f>
        <v>3</v>
      </c>
      <c r="GG39" s="25">
        <f>SUM(GG31,GG33,GG35,GG37)</f>
        <v>8</v>
      </c>
      <c r="GH39" s="26"/>
      <c r="GI39" s="30">
        <f>SUM(GI37)</f>
        <v>11</v>
      </c>
      <c r="GK39" s="25" t="s">
        <v>13</v>
      </c>
      <c r="GL39" s="25">
        <f>SUM(GL31,GL33,GL35,GL37)</f>
        <v>6</v>
      </c>
      <c r="GM39" s="25">
        <f>SUM(GM31,GM33,GM35,GM37)</f>
        <v>6</v>
      </c>
      <c r="GN39" s="26"/>
      <c r="GO39" s="30">
        <f>SUM(GO37)</f>
        <v>12</v>
      </c>
      <c r="GQ39" s="25" t="s">
        <v>13</v>
      </c>
      <c r="GR39" s="25">
        <f>SUM(GR31,GR33,GR35,GR37)</f>
        <v>13</v>
      </c>
      <c r="GS39" s="25">
        <f>SUM(GS31,GS33,GS35,GS37)</f>
        <v>7</v>
      </c>
      <c r="GT39" s="26"/>
      <c r="GU39" s="30">
        <f>SUM(GU37)</f>
        <v>20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12.TT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2025-11-23T18:55:25Z</dcterms:modified>
</cp:coreProperties>
</file>