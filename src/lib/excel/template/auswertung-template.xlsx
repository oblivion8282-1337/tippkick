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TW" sheetId="1" state="visible" r:id="rId1"/>
    <sheet xmlns:r="http://schemas.openxmlformats.org/officeDocument/2006/relationships" name="34.T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"/>
      <sz val="12"/>
    </font>
    <font>
      <name val="Arial"/>
      <family val="2"/>
      <b val="1"/>
      <sz val="12"/>
    </font>
    <font>
      <name val="Arial"/>
      <family val="2"/>
      <sz val="14"/>
    </font>
    <font>
      <name val="Arial"/>
      <family val="2"/>
      <b val="1"/>
      <sz val="16"/>
    </font>
    <font>
      <name val="Arial"/>
      <family val="2"/>
      <sz val="14"/>
    </font>
    <font>
      <name val="Arial"/>
      <family val="2"/>
      <sz val="10"/>
    </font>
    <font>
      <name val="Arial"/>
      <family val="2"/>
      <sz val="11"/>
    </font>
    <font>
      <name val="Arial"/>
      <family val="2"/>
      <color indexed="8"/>
      <sz val="10"/>
    </font>
    <font>
      <name val="Arial"/>
      <family val="2"/>
      <b val="1"/>
      <sz val="11"/>
    </font>
    <font>
      <name val="Arial"/>
      <family val="2"/>
      <b val="1"/>
      <sz val="11"/>
      <u val="single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sz val="12"/>
    </font>
    <font>
      <name val="Arial"/>
      <family val="2"/>
      <b val="1"/>
      <sz val="14"/>
    </font>
    <font>
      <name val="Arial"/>
      <family val="2"/>
      <color indexed="9"/>
      <sz val="11"/>
    </font>
    <font>
      <name val="Arial"/>
      <family val="2"/>
      <b val="1"/>
      <sz val="10"/>
    </font>
    <font>
      <name val="Arial"/>
      <family val="2"/>
      <sz val="11"/>
      <u val="single"/>
    </font>
    <font>
      <name val="Arial"/>
      <family val="2"/>
      <b val="1"/>
      <color rgb="FFFF0000"/>
      <sz val="12"/>
    </font>
    <font>
      <name val="Arial"/>
      <family val="2"/>
      <sz val="16"/>
    </font>
  </fonts>
  <fills count="10">
    <fill>
      <patternFill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27"/>
      </patternFill>
    </fill>
    <fill>
      <patternFill patternType="solid">
        <fgColor indexed="47"/>
        <bgColor indexed="27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8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1" fillId="0" borderId="0"/>
  </cellStyleXfs>
  <cellXfs count="9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2" borderId="0" pivotButton="0" quotePrefix="0" xfId="0"/>
    <xf numFmtId="0" fontId="8" fillId="2" borderId="0" pivotButton="0" quotePrefix="0" xfId="0"/>
    <xf numFmtId="0" fontId="8" fillId="2" borderId="0" applyAlignment="1" pivotButton="0" quotePrefix="0" xfId="0">
      <alignment horizontal="center"/>
    </xf>
    <xf numFmtId="2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Continuous"/>
    </xf>
    <xf numFmtId="0" fontId="1" fillId="3" borderId="1" applyAlignment="1" pivotButton="0" quotePrefix="0" xfId="0">
      <alignment horizontal="center"/>
    </xf>
    <xf numFmtId="0" fontId="0" fillId="3" borderId="1" pivotButton="0" quotePrefix="0" xfId="0"/>
    <xf numFmtId="0" fontId="0" fillId="3" borderId="2" pivotButton="0" quotePrefix="0" xfId="0"/>
    <xf numFmtId="0" fontId="11" fillId="0" borderId="1" pivotButton="0" quotePrefix="0" xfId="0"/>
    <xf numFmtId="0" fontId="11" fillId="0" borderId="3" pivotButton="0" quotePrefix="0" xfId="0"/>
    <xf numFmtId="0" fontId="11" fillId="0" borderId="4" pivotButton="0" quotePrefix="0" xfId="0"/>
    <xf numFmtId="0" fontId="11" fillId="0" borderId="5" pivotButton="0" quotePrefix="0" xfId="0"/>
    <xf numFmtId="0" fontId="11" fillId="0" borderId="0" pivotButton="0" quotePrefix="0" xfId="0"/>
    <xf numFmtId="0" fontId="11" fillId="0" borderId="6" pivotButton="0" quotePrefix="0" xfId="0"/>
    <xf numFmtId="0" fontId="11" fillId="3" borderId="7" pivotButton="0" quotePrefix="0" xfId="0"/>
    <xf numFmtId="0" fontId="11" fillId="3" borderId="8" pivotButton="0" quotePrefix="0" xfId="0"/>
    <xf numFmtId="0" fontId="11" fillId="3" borderId="9" pivotButton="0" quotePrefix="0" xfId="0"/>
    <xf numFmtId="0" fontId="11" fillId="3" borderId="10" pivotButton="0" quotePrefix="0" xfId="0"/>
    <xf numFmtId="0" fontId="11" fillId="3" borderId="11" pivotButton="0" quotePrefix="0" xfId="0"/>
    <xf numFmtId="0" fontId="11" fillId="3" borderId="12" pivotButton="0" quotePrefix="0" xfId="0"/>
    <xf numFmtId="0" fontId="11" fillId="0" borderId="13" pivotButton="0" quotePrefix="0" xfId="0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10" fillId="4" borderId="0" pivotButton="0" quotePrefix="0" xfId="0"/>
    <xf numFmtId="0" fontId="0" fillId="5" borderId="0" applyAlignment="1" pivotButton="0" quotePrefix="0" xfId="0">
      <alignment horizontal="center"/>
    </xf>
    <xf numFmtId="0" fontId="10" fillId="5" borderId="0" pivotButton="0" quotePrefix="0" xfId="0"/>
    <xf numFmtId="0" fontId="0" fillId="3" borderId="14" applyAlignment="1" pivotButton="0" quotePrefix="0" xfId="0">
      <alignment horizontal="center"/>
    </xf>
    <xf numFmtId="0" fontId="1" fillId="3" borderId="3" applyAlignment="1" pivotButton="0" quotePrefix="0" xfId="0">
      <alignment horizontal="left"/>
    </xf>
    <xf numFmtId="0" fontId="11" fillId="3" borderId="3" applyAlignment="1" pivotButton="0" quotePrefix="0" xfId="0">
      <alignment horizontal="right"/>
    </xf>
    <xf numFmtId="0" fontId="1" fillId="3" borderId="3" applyAlignment="1" pivotButton="0" quotePrefix="0" xfId="0">
      <alignment horizontal="center"/>
    </xf>
    <xf numFmtId="0" fontId="1" fillId="3" borderId="15" applyAlignment="1" pivotButton="0" quotePrefix="0" xfId="0">
      <alignment horizontal="center"/>
    </xf>
    <xf numFmtId="0" fontId="0" fillId="2" borderId="14" applyAlignment="1" pivotButton="0" quotePrefix="0" xfId="0">
      <alignment horizontal="center"/>
    </xf>
    <xf numFmtId="0" fontId="1" fillId="2" borderId="3" applyAlignment="1" pivotButton="0" quotePrefix="0" xfId="0">
      <alignment horizontal="left"/>
    </xf>
    <xf numFmtId="0" fontId="1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center"/>
    </xf>
    <xf numFmtId="0" fontId="1" fillId="2" borderId="15" applyAlignment="1" pivotButton="0" quotePrefix="0" xfId="0">
      <alignment horizontal="center"/>
    </xf>
    <xf numFmtId="0" fontId="12" fillId="0" borderId="0" pivotButton="0" quotePrefix="0" xfId="0"/>
    <xf numFmtId="0" fontId="13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1" fillId="6" borderId="16" applyAlignment="1" pivotButton="0" quotePrefix="0" xfId="0">
      <alignment horizontal="left"/>
    </xf>
    <xf numFmtId="0" fontId="1" fillId="6" borderId="3" pivotButton="0" quotePrefix="0" xfId="0"/>
    <xf numFmtId="0" fontId="1" fillId="6" borderId="17" pivotButton="0" quotePrefix="0" xfId="0"/>
    <xf numFmtId="0" fontId="0" fillId="6" borderId="15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6" borderId="16" pivotButton="0" quotePrefix="0" xfId="0"/>
    <xf numFmtId="0" fontId="5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Continuous"/>
    </xf>
    <xf numFmtId="0" fontId="1" fillId="0" borderId="14" applyAlignment="1" pivotButton="0" quotePrefix="0" xfId="0">
      <alignment horizontal="centerContinuous"/>
    </xf>
    <xf numFmtId="0" fontId="1" fillId="0" borderId="15" applyAlignment="1" pivotButton="0" quotePrefix="0" xfId="0">
      <alignment horizontal="centerContinuous"/>
    </xf>
    <xf numFmtId="0" fontId="10" fillId="0" borderId="0" applyAlignment="1" pivotButton="0" quotePrefix="0" xfId="0">
      <alignment horizontal="center"/>
    </xf>
    <xf numFmtId="0" fontId="6" fillId="7" borderId="0" applyAlignment="1" pivotButton="0" quotePrefix="0" xfId="0">
      <alignment horizontal="center"/>
    </xf>
    <xf numFmtId="0" fontId="6" fillId="7" borderId="0" pivotButton="0" quotePrefix="0" xfId="0"/>
    <xf numFmtId="0" fontId="9" fillId="7" borderId="0" applyAlignment="1" pivotButton="0" quotePrefix="0" xfId="0">
      <alignment horizontal="center"/>
    </xf>
    <xf numFmtId="0" fontId="0" fillId="8" borderId="0" applyAlignment="1" pivotButton="0" quotePrefix="0" xfId="0">
      <alignment horizontal="center"/>
    </xf>
    <xf numFmtId="0" fontId="15" fillId="0" borderId="0" pivotButton="0" quotePrefix="0" xfId="0"/>
    <xf numFmtId="0" fontId="1" fillId="2" borderId="16" pivotButton="0" quotePrefix="0" xfId="0"/>
    <xf numFmtId="0" fontId="1" fillId="2" borderId="17" pivotButton="0" quotePrefix="0" xfId="0"/>
    <xf numFmtId="0" fontId="7" fillId="0" borderId="1" applyAlignment="1" pivotButton="0" quotePrefix="0" xfId="0">
      <alignment horizontal="left" vertical="center" wrapText="1"/>
    </xf>
    <xf numFmtId="0" fontId="16" fillId="9" borderId="0" pivotButton="0" quotePrefix="0" xfId="0"/>
    <xf numFmtId="0" fontId="16" fillId="9" borderId="0" applyAlignment="1" pivotButton="0" quotePrefix="0" xfId="0">
      <alignment horizontal="center"/>
    </xf>
    <xf numFmtId="0" fontId="6" fillId="8" borderId="0" applyAlignment="1" pivotButton="0" quotePrefix="0" xfId="0">
      <alignment horizontal="center"/>
    </xf>
    <xf numFmtId="0" fontId="14" fillId="6" borderId="15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17" fillId="8" borderId="0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5" fillId="3" borderId="7" pivotButton="0" quotePrefix="0" xfId="0"/>
    <xf numFmtId="0" fontId="5" fillId="3" borderId="10" pivotButton="0" quotePrefix="0" xfId="0"/>
    <xf numFmtId="0" fontId="3" fillId="8" borderId="0" applyAlignment="1" pivotButton="0" quotePrefix="0" xfId="0">
      <alignment vertical="center"/>
    </xf>
    <xf numFmtId="0" fontId="0" fillId="8" borderId="0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0" fontId="18" fillId="0" borderId="0" pivotButton="0" quotePrefix="0" xfId="0"/>
    <xf numFmtId="0" fontId="6" fillId="0" borderId="0" pivotButton="0" quotePrefix="1" xfId="0"/>
    <xf numFmtId="15" fontId="1" fillId="0" borderId="0" pivotButton="0" quotePrefix="0" xfId="0"/>
    <xf numFmtId="0" fontId="5" fillId="2" borderId="3" applyAlignment="1" pivotButton="0" quotePrefix="0" xfId="0">
      <alignment horizontal="right"/>
    </xf>
    <xf numFmtId="0" fontId="19" fillId="0" borderId="0" pivotButton="0" quotePrefix="0" xfId="0"/>
    <xf numFmtId="0" fontId="14" fillId="0" borderId="0" pivotButton="0" quotePrefix="0" xfId="0"/>
    <xf numFmtId="0" fontId="14" fillId="0" borderId="1" applyAlignment="1" pivotButton="0" quotePrefix="0" xfId="0">
      <alignment horizontal="center" vertical="center"/>
    </xf>
    <xf numFmtId="0" fontId="20" fillId="0" borderId="0" pivotButton="0" quotePrefix="0" xfId="0"/>
  </cellXfs>
  <cellStyles count="3">
    <cellStyle name="Standard" xfId="0" builtinId="0"/>
    <cellStyle name="Excel Built-in Normal" xfId="1"/>
    <cellStyle name="Standard 2" xfId="2"/>
  </cellStyles>
  <dxfs count="15">
    <dxf>
      <font>
        <b val="1"/>
        <condense val="0"/>
        <extend val="0"/>
      </font>
    </dxf>
    <dxf>
      <font>
        <b val="1"/>
        <condense val="0"/>
        <color auto="1"/>
        <extend val="0"/>
      </font>
      <fill>
        <patternFill>
          <bgColor indexed="15"/>
        </patternFill>
      </fill>
    </dxf>
    <dxf>
      <font>
        <b val="1"/>
        <condense val="0"/>
        <color auto="1"/>
        <extend val="0"/>
      </font>
      <fill>
        <patternFill>
          <bgColor indexed="5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indexed="15"/>
    <outlinePr summaryBelow="1" summaryRight="1"/>
    <pageSetUpPr/>
  </sheetPr>
  <dimension ref="A1:T37"/>
  <sheetViews>
    <sheetView zoomScale="75" workbookViewId="0">
      <selection activeCell="X31" sqref="X31"/>
    </sheetView>
  </sheetViews>
  <sheetFormatPr baseColWidth="10" defaultRowHeight="14.25"/>
  <cols>
    <col width="9.109375" bestFit="1" customWidth="1" style="7" min="1" max="1"/>
    <col width="5" bestFit="1" customWidth="1" style="8" min="2" max="2"/>
    <col width="2.33203125" customWidth="1" style="7" min="3" max="3"/>
    <col width="9.109375" bestFit="1" customWidth="1" style="7" min="4" max="4"/>
    <col width="4" customWidth="1" style="7" min="5" max="5"/>
    <col width="2.33203125" customWidth="1" style="7" min="6" max="6"/>
    <col width="9.109375" customWidth="1" style="7" min="7" max="7"/>
    <col width="4.109375" customWidth="1" style="8" min="8" max="8"/>
    <col width="2.33203125" customWidth="1" style="8" min="9" max="9"/>
    <col width="9.21875" customWidth="1" style="8" min="10" max="10"/>
    <col width="4.109375" customWidth="1" style="8" min="11" max="11"/>
    <col width="2.33203125" customWidth="1" style="7" min="12" max="12"/>
    <col width="11.5546875" customWidth="1" style="7" min="13" max="13"/>
    <col width="6.77734375" customWidth="1" style="7" min="14" max="15"/>
    <col width="6.77734375" customWidth="1" style="8" min="16" max="16"/>
    <col width="3.77734375" customWidth="1" style="7" min="17" max="19"/>
    <col width="3.88671875" customWidth="1" style="8" min="20" max="20"/>
    <col width="11.5546875" customWidth="1" style="7" min="21" max="16384"/>
  </cols>
  <sheetData>
    <row r="1" ht="15" customHeight="1">
      <c r="A1" s="64" t="n"/>
      <c r="B1" s="65" t="inlineStr">
        <is>
          <t>Fr</t>
        </is>
      </c>
      <c r="C1" s="64" t="n"/>
      <c r="D1" s="64" t="n"/>
      <c r="E1" s="65" t="inlineStr">
        <is>
          <t>Sa</t>
        </is>
      </c>
      <c r="F1" s="64" t="n"/>
      <c r="G1" s="64" t="n"/>
      <c r="H1" s="65" t="inlineStr">
        <is>
          <t>So</t>
        </is>
      </c>
      <c r="I1" s="63" t="n"/>
      <c r="J1" s="63" t="n"/>
      <c r="K1" s="65" t="inlineStr">
        <is>
          <t>Mo</t>
        </is>
      </c>
      <c r="M1" s="9" t="n"/>
      <c r="N1" s="10" t="inlineStr">
        <is>
          <t>TW-Ges</t>
        </is>
      </c>
      <c r="O1" s="11" t="inlineStr">
        <is>
          <t>TW-BL</t>
        </is>
      </c>
      <c r="P1" s="11" t="inlineStr">
        <is>
          <t>TW-2L</t>
        </is>
      </c>
      <c r="Q1" s="63" t="inlineStr">
        <is>
          <t>3er</t>
        </is>
      </c>
      <c r="R1" s="63" t="inlineStr">
        <is>
          <t>2er</t>
        </is>
      </c>
      <c r="S1" s="63" t="inlineStr">
        <is>
          <t>1er</t>
        </is>
      </c>
      <c r="T1" s="63" t="inlineStr">
        <is>
          <t>ZP</t>
        </is>
      </c>
    </row>
    <row r="2" ht="15" customHeight="1">
      <c r="A2" s="64" t="inlineStr">
        <is>
          <t xml:space="preserve">Bächli </t>
        </is>
      </c>
      <c r="B2" s="63">
        <f>VALUE('34.TT'!$P$31)</f>
        <v/>
      </c>
      <c r="C2" s="64" t="n"/>
      <c r="D2" s="64" t="inlineStr">
        <is>
          <t xml:space="preserve">Bächli </t>
        </is>
      </c>
      <c r="E2" s="63">
        <f>VALUE('34.TT'!$P$33)</f>
        <v/>
      </c>
      <c r="F2" s="64" t="n"/>
      <c r="G2" s="64" t="inlineStr">
        <is>
          <t xml:space="preserve">Bächli </t>
        </is>
      </c>
      <c r="H2" s="63">
        <f>VALUE('34.TT'!$P$35)</f>
        <v/>
      </c>
      <c r="I2" s="63" t="n"/>
      <c r="J2" s="64" t="inlineStr">
        <is>
          <t xml:space="preserve">Bächli </t>
        </is>
      </c>
      <c r="K2" s="63">
        <f>VALUE('34.TT'!$P$37)</f>
        <v/>
      </c>
      <c r="M2" s="10" t="inlineStr">
        <is>
          <t xml:space="preserve">Bächli </t>
        </is>
      </c>
      <c r="N2" s="11">
        <f>VALUE('34.TT'!Q39)+T2</f>
        <v/>
      </c>
      <c r="O2" s="11">
        <f>VALUE('34.TT'!N39)</f>
        <v/>
      </c>
      <c r="P2" s="11">
        <f>VALUE('34.TT'!O39)</f>
        <v/>
      </c>
      <c r="Q2" s="63">
        <f>COUNTIF('34.TT'!P6:P26,3)</f>
        <v/>
      </c>
      <c r="R2" s="63">
        <f>COUNTIF('34.TT'!P6:P26,2)</f>
        <v/>
      </c>
      <c r="S2" s="63">
        <f>COUNTIF('34.TT'!P6:P26,1)</f>
        <v/>
      </c>
      <c r="T2" s="73" t="n"/>
    </row>
    <row r="3" ht="15" customHeight="1">
      <c r="A3" s="64" t="inlineStr">
        <is>
          <t>Bene</t>
        </is>
      </c>
      <c r="B3" s="63">
        <f>VALUE('34.TT'!$V$31)</f>
        <v/>
      </c>
      <c r="C3" s="64" t="n"/>
      <c r="D3" s="64" t="inlineStr">
        <is>
          <t>Bene</t>
        </is>
      </c>
      <c r="E3" s="63">
        <f>VALUE('34.TT'!$V$33)</f>
        <v/>
      </c>
      <c r="F3" s="64" t="n"/>
      <c r="G3" s="64" t="inlineStr">
        <is>
          <t>Bene</t>
        </is>
      </c>
      <c r="H3" s="63">
        <f>VALUE('34.TT'!$V$35)</f>
        <v/>
      </c>
      <c r="I3" s="63" t="n"/>
      <c r="J3" s="64" t="inlineStr">
        <is>
          <t>Bene</t>
        </is>
      </c>
      <c r="K3" s="63">
        <f>VALUE('34.TT'!$V$37)</f>
        <v/>
      </c>
      <c r="M3" s="10" t="inlineStr">
        <is>
          <t>Bene</t>
        </is>
      </c>
      <c r="N3" s="11">
        <f>VALUE('34.TT'!W39)+T3</f>
        <v/>
      </c>
      <c r="O3" s="11">
        <f>VALUE('34.TT'!T39)</f>
        <v/>
      </c>
      <c r="P3" s="11">
        <f>VALUE('34.TT'!U39)</f>
        <v/>
      </c>
      <c r="Q3" s="63">
        <f>COUNTIF('34.TT'!V6:V26,3)</f>
        <v/>
      </c>
      <c r="R3" s="63">
        <f>COUNTIF('34.TT'!V6:V26,2)</f>
        <v/>
      </c>
      <c r="S3" s="63">
        <f>COUNTIF('34.TT'!V6:V26,1)</f>
        <v/>
      </c>
      <c r="T3" s="73" t="n"/>
    </row>
    <row r="4" ht="15" customHeight="1">
      <c r="A4" s="64" t="inlineStr">
        <is>
          <t xml:space="preserve">Boller </t>
        </is>
      </c>
      <c r="B4" s="63">
        <f>VALUE('34.TT'!$AB$31)</f>
        <v/>
      </c>
      <c r="C4" s="64" t="n"/>
      <c r="D4" s="64" t="inlineStr">
        <is>
          <t xml:space="preserve">Boller </t>
        </is>
      </c>
      <c r="E4" s="63">
        <f>VALUE('34.TT'!$AB$33)</f>
        <v/>
      </c>
      <c r="F4" s="64" t="n"/>
      <c r="G4" s="64" t="inlineStr">
        <is>
          <t xml:space="preserve">Boller </t>
        </is>
      </c>
      <c r="H4" s="63">
        <f>VALUE('34.TT'!$AB$35)</f>
        <v/>
      </c>
      <c r="I4" s="63" t="n"/>
      <c r="J4" s="64" t="inlineStr">
        <is>
          <t xml:space="preserve">Boller </t>
        </is>
      </c>
      <c r="K4" s="63">
        <f>VALUE('34.TT'!$AB$37)</f>
        <v/>
      </c>
      <c r="M4" s="10" t="inlineStr">
        <is>
          <t xml:space="preserve">Boller </t>
        </is>
      </c>
      <c r="N4" s="11">
        <f>VALUE('34.TT'!AC39)+T4</f>
        <v/>
      </c>
      <c r="O4" s="11">
        <f>VALUE('34.TT'!Z39)</f>
        <v/>
      </c>
      <c r="P4" s="11">
        <f>VALUE('34.TT'!AA39)</f>
        <v/>
      </c>
      <c r="Q4" s="63">
        <f>COUNTIF('34.TT'!AB6:AB26,3)</f>
        <v/>
      </c>
      <c r="R4" s="63">
        <f>COUNTIF('34.TT'!AB6:AB26,2)</f>
        <v/>
      </c>
      <c r="S4" s="63">
        <f>COUNTIF('34.TT'!AB6:AB26,1)</f>
        <v/>
      </c>
      <c r="T4" s="73" t="n"/>
    </row>
    <row r="5" ht="15" customHeight="1">
      <c r="A5" s="64" t="inlineStr">
        <is>
          <t>Bussi</t>
        </is>
      </c>
      <c r="B5" s="63">
        <f>VALUE('34.TT'!$AH$31)</f>
        <v/>
      </c>
      <c r="C5" s="64" t="n"/>
      <c r="D5" s="64" t="inlineStr">
        <is>
          <t>Bussi</t>
        </is>
      </c>
      <c r="E5" s="63">
        <f>VALUE('34.TT'!$AH$33)</f>
        <v/>
      </c>
      <c r="F5" s="64" t="n"/>
      <c r="G5" s="64" t="inlineStr">
        <is>
          <t>Bussi</t>
        </is>
      </c>
      <c r="H5" s="63">
        <f>VALUE('34.TT'!$AH$35)</f>
        <v/>
      </c>
      <c r="I5" s="63" t="n"/>
      <c r="J5" s="64" t="inlineStr">
        <is>
          <t>Bussi</t>
        </is>
      </c>
      <c r="K5" s="63">
        <f>VALUE('34.TT'!$AH$37)</f>
        <v/>
      </c>
      <c r="M5" s="10" t="inlineStr">
        <is>
          <t>Bussi</t>
        </is>
      </c>
      <c r="N5" s="11">
        <f>VALUE('34.TT'!AI39)+T5</f>
        <v/>
      </c>
      <c r="O5" s="11">
        <f>VALUE('34.TT'!AF39)</f>
        <v/>
      </c>
      <c r="P5" s="11">
        <f>VALUE('34.TT'!AG39)</f>
        <v/>
      </c>
      <c r="Q5" s="63">
        <f>COUNTIF('34.TT'!AH6:AH26,3)</f>
        <v/>
      </c>
      <c r="R5" s="63">
        <f>COUNTIF('34.TT'!AH6:AH26,2)</f>
        <v/>
      </c>
      <c r="S5" s="63">
        <f>COUNTIF('34.TT'!AH6:AH26,1)</f>
        <v/>
      </c>
      <c r="T5" s="73" t="n"/>
    </row>
    <row r="6" ht="15" customHeight="1">
      <c r="A6" s="64" t="inlineStr">
        <is>
          <t>Christkind</t>
        </is>
      </c>
      <c r="B6" s="63">
        <f>VALUE('34.TT'!$AN$31)</f>
        <v/>
      </c>
      <c r="C6" s="64" t="n"/>
      <c r="D6" s="64" t="inlineStr">
        <is>
          <t>Christkind</t>
        </is>
      </c>
      <c r="E6" s="63">
        <f>VALUE('34.TT'!$AN$33)</f>
        <v/>
      </c>
      <c r="F6" s="64" t="n"/>
      <c r="G6" s="64" t="inlineStr">
        <is>
          <t>Christkind</t>
        </is>
      </c>
      <c r="H6" s="63">
        <f>VALUE('34.TT'!$AN$35)</f>
        <v/>
      </c>
      <c r="I6" s="63" t="n"/>
      <c r="J6" s="64" t="inlineStr">
        <is>
          <t>Christkind</t>
        </is>
      </c>
      <c r="K6" s="63">
        <f>VALUE('34.TT'!$AN$37)</f>
        <v/>
      </c>
      <c r="M6" s="10" t="inlineStr">
        <is>
          <t>Christkind</t>
        </is>
      </c>
      <c r="N6" s="11">
        <f>VALUE('34.TT'!AO39)+T6</f>
        <v/>
      </c>
      <c r="O6" s="11">
        <f>VALUE('34.TT'!AL39)</f>
        <v/>
      </c>
      <c r="P6" s="11">
        <f>VALUE('34.TT'!AM39)</f>
        <v/>
      </c>
      <c r="Q6" s="63">
        <f>COUNTIF('34.TT'!AN6:AN26,3)</f>
        <v/>
      </c>
      <c r="R6" s="63">
        <f>COUNTIF('34.TT'!AN6:AN26,2)</f>
        <v/>
      </c>
      <c r="S6" s="63">
        <f>COUNTIF('34.TT'!AN6:AN26,1)</f>
        <v/>
      </c>
      <c r="T6" s="73" t="n"/>
    </row>
    <row r="7" ht="15" customHeight="1">
      <c r="A7" s="64" t="inlineStr">
        <is>
          <t>Cordoba</t>
        </is>
      </c>
      <c r="B7" s="63">
        <f>VALUE('34.TT'!$AT$31)</f>
        <v/>
      </c>
      <c r="C7" s="64" t="n"/>
      <c r="D7" s="64" t="inlineStr">
        <is>
          <t>Cordoba</t>
        </is>
      </c>
      <c r="E7" s="63">
        <f>VALUE('34.TT'!$AT$33)</f>
        <v/>
      </c>
      <c r="F7" s="64" t="n"/>
      <c r="G7" s="64" t="inlineStr">
        <is>
          <t>Cordoba</t>
        </is>
      </c>
      <c r="H7" s="63">
        <f>VALUE('34.TT'!$AT$35)</f>
        <v/>
      </c>
      <c r="I7" s="63" t="n"/>
      <c r="J7" s="64" t="inlineStr">
        <is>
          <t>Cordoba</t>
        </is>
      </c>
      <c r="K7" s="63">
        <f>VALUE('34.TT'!$AT$37)</f>
        <v/>
      </c>
      <c r="M7" s="10" t="inlineStr">
        <is>
          <t>Cordoba</t>
        </is>
      </c>
      <c r="N7" s="11">
        <f>VALUE('34.TT'!AU39)+T7</f>
        <v/>
      </c>
      <c r="O7" s="11">
        <f>VALUE('34.TT'!AR39)</f>
        <v/>
      </c>
      <c r="P7" s="11">
        <f>VALUE('34.TT'!AS39)</f>
        <v/>
      </c>
      <c r="Q7" s="63">
        <f>COUNTIF('34.TT'!AT6:AT26,3)</f>
        <v/>
      </c>
      <c r="R7" s="63">
        <f>COUNTIF('34.TT'!AT6:AT26,2)</f>
        <v/>
      </c>
      <c r="S7" s="63">
        <f>COUNTIF('34.TT'!AT6:AT26,1)</f>
        <v/>
      </c>
      <c r="T7" s="73" t="n"/>
    </row>
    <row r="8" ht="15" customHeight="1">
      <c r="A8" s="64" t="inlineStr">
        <is>
          <t>Dellinger</t>
        </is>
      </c>
      <c r="B8" s="63">
        <f>VALUE('34.TT'!$AZ$31)</f>
        <v/>
      </c>
      <c r="C8" s="64" t="n"/>
      <c r="D8" s="64" t="inlineStr">
        <is>
          <t>Dellinger</t>
        </is>
      </c>
      <c r="E8" s="63">
        <f>VALUE('34.TT'!$AZ$33)</f>
        <v/>
      </c>
      <c r="F8" s="64" t="n"/>
      <c r="G8" s="64" t="inlineStr">
        <is>
          <t>Dellinger</t>
        </is>
      </c>
      <c r="H8" s="63">
        <f>VALUE('34.TT'!$AZ$35)</f>
        <v/>
      </c>
      <c r="I8" s="63" t="n"/>
      <c r="J8" s="64" t="inlineStr">
        <is>
          <t>Dellinger</t>
        </is>
      </c>
      <c r="K8" s="63">
        <f>VALUE('34.TT'!$AZ$37)</f>
        <v/>
      </c>
      <c r="M8" s="10" t="inlineStr">
        <is>
          <t>Dellinger</t>
        </is>
      </c>
      <c r="N8" s="11">
        <f>VALUE('34.TT'!BA39)+T8</f>
        <v/>
      </c>
      <c r="O8" s="11">
        <f>VALUE('34.TT'!AX39)</f>
        <v/>
      </c>
      <c r="P8" s="11">
        <f>VALUE('34.TT'!AY39)</f>
        <v/>
      </c>
      <c r="Q8" s="63">
        <f>COUNTIF('34.TT'!AZ6:AZ26,3)</f>
        <v/>
      </c>
      <c r="R8" s="63">
        <f>COUNTIF('34.TT'!AZ6:AZ26,2)</f>
        <v/>
      </c>
      <c r="S8" s="63">
        <f>COUNTIF('34.TT'!AZ6:AZ26,1)</f>
        <v/>
      </c>
      <c r="T8" s="73" t="n"/>
    </row>
    <row r="9" ht="15" customHeight="1">
      <c r="A9" s="64" t="inlineStr">
        <is>
          <t>DerHanseat</t>
        </is>
      </c>
      <c r="B9" s="63">
        <f>VALUE('34.TT'!$BF$31)</f>
        <v/>
      </c>
      <c r="C9" s="64" t="n"/>
      <c r="D9" s="64" t="inlineStr">
        <is>
          <t>DerHanseat</t>
        </is>
      </c>
      <c r="E9" s="63">
        <f>VALUE('34.TT'!$BF$33)</f>
        <v/>
      </c>
      <c r="F9" s="64" t="n"/>
      <c r="G9" s="64" t="inlineStr">
        <is>
          <t>DerHanseat</t>
        </is>
      </c>
      <c r="H9" s="63">
        <f>VALUE('34.TT'!$BF$35)</f>
        <v/>
      </c>
      <c r="I9" s="63" t="n"/>
      <c r="J9" s="64" t="inlineStr">
        <is>
          <t>DerHanseat</t>
        </is>
      </c>
      <c r="K9" s="63">
        <f>VALUE('34.TT'!$BF$37)</f>
        <v/>
      </c>
      <c r="M9" s="10" t="inlineStr">
        <is>
          <t>DerHanseat</t>
        </is>
      </c>
      <c r="N9" s="11">
        <f>VALUE('34.TT'!BG39)+T9</f>
        <v/>
      </c>
      <c r="O9" s="11">
        <f>VALUE('34.TT'!BD39)</f>
        <v/>
      </c>
      <c r="P9" s="11">
        <f>VALUE('34.TT'!BE39)</f>
        <v/>
      </c>
      <c r="Q9" s="63">
        <f>COUNTIF('34.TT'!BF6:BF26,3)</f>
        <v/>
      </c>
      <c r="R9" s="63">
        <f>COUNTIF('34.TT'!BF6:BF26,2)</f>
        <v/>
      </c>
      <c r="S9" s="63">
        <f>COUNTIF('34.TT'!BF6:BF26,1)</f>
        <v/>
      </c>
      <c r="T9" s="73" t="n"/>
    </row>
    <row r="10" ht="15" customHeight="1">
      <c r="A10" s="64" t="inlineStr">
        <is>
          <t>Dr. Rock</t>
        </is>
      </c>
      <c r="B10" s="63">
        <f>VALUE('34.TT'!$BL$31)</f>
        <v/>
      </c>
      <c r="C10" s="64" t="n"/>
      <c r="D10" s="64" t="inlineStr">
        <is>
          <t>Dr. Rock</t>
        </is>
      </c>
      <c r="E10" s="63">
        <f>VALUE('34.TT'!$BL$33)</f>
        <v/>
      </c>
      <c r="F10" s="64" t="n"/>
      <c r="G10" s="64" t="inlineStr">
        <is>
          <t>Dr. Rock</t>
        </is>
      </c>
      <c r="H10" s="63">
        <f>VALUE('34.TT'!$BL$35)</f>
        <v/>
      </c>
      <c r="I10" s="63" t="n"/>
      <c r="J10" s="64" t="inlineStr">
        <is>
          <t>Dr. Rock</t>
        </is>
      </c>
      <c r="K10" s="63">
        <f>VALUE('34.TT'!$BL$37)</f>
        <v/>
      </c>
      <c r="M10" s="10" t="inlineStr">
        <is>
          <t>Dr. Rock</t>
        </is>
      </c>
      <c r="N10" s="11">
        <f>VALUE('34.TT'!BM39)+T10</f>
        <v/>
      </c>
      <c r="O10" s="11">
        <f>VALUE('34.TT'!BJ39)</f>
        <v/>
      </c>
      <c r="P10" s="11">
        <f>VALUE('34.TT'!BK39)</f>
        <v/>
      </c>
      <c r="Q10" s="63">
        <f>COUNTIF('34.TT'!BL6:BL26,3)</f>
        <v/>
      </c>
      <c r="R10" s="63">
        <f>COUNTIF('34.TT'!BL6:BL26,2)</f>
        <v/>
      </c>
      <c r="S10" s="63">
        <f>COUNTIF('34.TT'!BL6:BL26,1)</f>
        <v/>
      </c>
      <c r="T10" s="73" t="n"/>
    </row>
    <row r="11" ht="15" customHeight="1">
      <c r="A11" s="64" t="inlineStr">
        <is>
          <t xml:space="preserve">Effe </t>
        </is>
      </c>
      <c r="B11" s="63">
        <f>VALUE('34.TT'!$BR$31)</f>
        <v/>
      </c>
      <c r="C11" s="64" t="n"/>
      <c r="D11" s="64" t="inlineStr">
        <is>
          <t xml:space="preserve">Effe </t>
        </is>
      </c>
      <c r="E11" s="63">
        <f>VALUE('34.TT'!$BR$33)</f>
        <v/>
      </c>
      <c r="F11" s="64" t="n"/>
      <c r="G11" s="64" t="inlineStr">
        <is>
          <t xml:space="preserve">Effe </t>
        </is>
      </c>
      <c r="H11" s="63">
        <f>VALUE('34.TT'!$BR$35)</f>
        <v/>
      </c>
      <c r="I11" s="63" t="n"/>
      <c r="J11" s="64" t="inlineStr">
        <is>
          <t xml:space="preserve">Effe </t>
        </is>
      </c>
      <c r="K11" s="63">
        <f>VALUE('34.TT'!$BR$37)</f>
        <v/>
      </c>
      <c r="M11" s="10" t="inlineStr">
        <is>
          <t xml:space="preserve">Effe </t>
        </is>
      </c>
      <c r="N11" s="11">
        <f>VALUE('34.TT'!BS39)+T11</f>
        <v/>
      </c>
      <c r="O11" s="11">
        <f>VALUE('34.TT'!BP39)</f>
        <v/>
      </c>
      <c r="P11" s="11">
        <f>VALUE('34.TT'!BQ39)</f>
        <v/>
      </c>
      <c r="Q11" s="63">
        <f>COUNTIF('34.TT'!BR6:BR26,3)</f>
        <v/>
      </c>
      <c r="R11" s="63">
        <f>COUNTIF('34.TT'!BR6:BR26,2)</f>
        <v/>
      </c>
      <c r="S11" s="63">
        <f>COUNTIF('34.TT'!BR6:BR26,1)</f>
        <v/>
      </c>
      <c r="T11" s="73" t="n"/>
    </row>
    <row r="12" ht="15" customHeight="1">
      <c r="A12" s="64" t="inlineStr">
        <is>
          <t>Ernst</t>
        </is>
      </c>
      <c r="B12" s="63">
        <f>VALUE('34.TT'!$BX$31)</f>
        <v/>
      </c>
      <c r="C12" s="64" t="n"/>
      <c r="D12" s="64" t="inlineStr">
        <is>
          <t>Ernst</t>
        </is>
      </c>
      <c r="E12" s="63">
        <f>VALUE('34.TT'!$BX$33)</f>
        <v/>
      </c>
      <c r="F12" s="64" t="n"/>
      <c r="G12" s="64" t="inlineStr">
        <is>
          <t>Ernst</t>
        </is>
      </c>
      <c r="H12" s="63">
        <f>VALUE('34.TT'!$BX$35)</f>
        <v/>
      </c>
      <c r="I12" s="63" t="n"/>
      <c r="J12" s="64" t="inlineStr">
        <is>
          <t>Ernst</t>
        </is>
      </c>
      <c r="K12" s="63">
        <f>VALUE('34.TT'!$BX$37)</f>
        <v/>
      </c>
      <c r="M12" s="10" t="inlineStr">
        <is>
          <t>Ernst</t>
        </is>
      </c>
      <c r="N12" s="11">
        <f>VALUE('34.TT'!BY39)+T12</f>
        <v/>
      </c>
      <c r="O12" s="11">
        <f>VALUE('34.TT'!BV39)</f>
        <v/>
      </c>
      <c r="P12" s="11">
        <f>VALUE('34.TT'!BW39)</f>
        <v/>
      </c>
      <c r="Q12" s="63">
        <f>COUNTIF('34.TT'!BX6:BX26,3)</f>
        <v/>
      </c>
      <c r="R12" s="63">
        <f>COUNTIF('34.TT'!BX6:BX26,2)</f>
        <v/>
      </c>
      <c r="S12" s="63">
        <f>COUNTIF('34.TT'!BX6:BX26,1)</f>
        <v/>
      </c>
      <c r="T12" s="73" t="n"/>
    </row>
    <row r="13" ht="15" customHeight="1">
      <c r="A13" s="64" t="inlineStr">
        <is>
          <t>Fips</t>
        </is>
      </c>
      <c r="B13" s="63">
        <f>VALUE('34.TT'!$CD$31)</f>
        <v/>
      </c>
      <c r="C13" s="64" t="n"/>
      <c r="D13" s="64" t="inlineStr">
        <is>
          <t>Fips</t>
        </is>
      </c>
      <c r="E13" s="63">
        <f>VALUE('34.TT'!$CD$33)</f>
        <v/>
      </c>
      <c r="F13" s="64" t="n"/>
      <c r="G13" s="64" t="inlineStr">
        <is>
          <t>Fips</t>
        </is>
      </c>
      <c r="H13" s="63">
        <f>VALUE('34.TT'!$CD$35)</f>
        <v/>
      </c>
      <c r="I13" s="63" t="n"/>
      <c r="J13" s="64" t="inlineStr">
        <is>
          <t>Fips</t>
        </is>
      </c>
      <c r="K13" s="63">
        <f>VALUE('34.TT'!$CD$37)</f>
        <v/>
      </c>
      <c r="M13" s="10" t="inlineStr">
        <is>
          <t>Fips</t>
        </is>
      </c>
      <c r="N13" s="11">
        <f>VALUE('34.TT'!CE39)+T13</f>
        <v/>
      </c>
      <c r="O13" s="11">
        <f>VALUE('34.TT'!CB39)</f>
        <v/>
      </c>
      <c r="P13" s="11">
        <f>VALUE('34.TT'!CC39)</f>
        <v/>
      </c>
      <c r="Q13" s="63">
        <f>COUNTIF('34.TT'!CD6:CD26,3)</f>
        <v/>
      </c>
      <c r="R13" s="63">
        <f>COUNTIF('34.TT'!CD6:CD26,2)</f>
        <v/>
      </c>
      <c r="S13" s="63">
        <f>COUNTIF('34.TT'!CD6:CD26,1)</f>
        <v/>
      </c>
      <c r="T13" s="73" t="n"/>
    </row>
    <row r="14" ht="15" customHeight="1">
      <c r="A14" s="64" t="inlineStr">
        <is>
          <t>Flipp</t>
        </is>
      </c>
      <c r="B14" s="63">
        <f>VALUE('34.TT'!$CJ$31)</f>
        <v/>
      </c>
      <c r="C14" s="64" t="n"/>
      <c r="D14" s="64" t="inlineStr">
        <is>
          <t>Flipp</t>
        </is>
      </c>
      <c r="E14" s="63">
        <f>VALUE('34.TT'!$CJ$33)</f>
        <v/>
      </c>
      <c r="F14" s="64" t="n"/>
      <c r="G14" s="64" t="inlineStr">
        <is>
          <t>Flipp</t>
        </is>
      </c>
      <c r="H14" s="63">
        <f>VALUE('34.TT'!$CJ$35)</f>
        <v/>
      </c>
      <c r="I14" s="63" t="n"/>
      <c r="J14" s="64" t="inlineStr">
        <is>
          <t>Flipp</t>
        </is>
      </c>
      <c r="K14" s="63">
        <f>VALUE('34.TT'!$CJ$37)</f>
        <v/>
      </c>
      <c r="M14" s="10" t="inlineStr">
        <is>
          <t>Flipp</t>
        </is>
      </c>
      <c r="N14" s="11">
        <f>VALUE('34.TT'!CK39)+T14</f>
        <v/>
      </c>
      <c r="O14" s="11">
        <f>VALUE('34.TT'!CH39)</f>
        <v/>
      </c>
      <c r="P14" s="11">
        <f>VALUE('34.TT'!CI39)</f>
        <v/>
      </c>
      <c r="Q14" s="63">
        <f>COUNTIF('34.TT'!CJ6:CJ26,3)</f>
        <v/>
      </c>
      <c r="R14" s="63">
        <f>COUNTIF('34.TT'!CJ6:CJ26,2)</f>
        <v/>
      </c>
      <c r="S14" s="63">
        <f>COUNTIF('34.TT'!CJ6:CJ26,1)</f>
        <v/>
      </c>
      <c r="T14" s="73" t="n"/>
    </row>
    <row r="15" ht="15" customHeight="1">
      <c r="A15" s="64" t="inlineStr">
        <is>
          <t>Focker</t>
        </is>
      </c>
      <c r="B15" s="63">
        <f>VALUE('34.TT'!$CP$31)</f>
        <v/>
      </c>
      <c r="C15" s="64" t="n"/>
      <c r="D15" s="64" t="inlineStr">
        <is>
          <t>Focker</t>
        </is>
      </c>
      <c r="E15" s="63">
        <f>VALUE('34.TT'!$CP$33)</f>
        <v/>
      </c>
      <c r="F15" s="64" t="n"/>
      <c r="G15" s="64" t="inlineStr">
        <is>
          <t>Focker</t>
        </is>
      </c>
      <c r="H15" s="63">
        <f>VALUE('34.TT'!$CP$35)</f>
        <v/>
      </c>
      <c r="I15" s="63" t="n"/>
      <c r="J15" s="64" t="inlineStr">
        <is>
          <t>Focker</t>
        </is>
      </c>
      <c r="K15" s="63">
        <f>VALUE('34.TT'!$CP$37)</f>
        <v/>
      </c>
      <c r="M15" s="10" t="inlineStr">
        <is>
          <t>Focker</t>
        </is>
      </c>
      <c r="N15" s="11">
        <f>VALUE('34.TT'!CQ39)+T15</f>
        <v/>
      </c>
      <c r="O15" s="11">
        <f>VALUE('34.TT'!CN39)</f>
        <v/>
      </c>
      <c r="P15" s="11">
        <f>VALUE('34.TT'!CO39)</f>
        <v/>
      </c>
      <c r="Q15" s="63">
        <f>COUNTIF('34.TT'!CP6:CP26,3)</f>
        <v/>
      </c>
      <c r="R15" s="63">
        <f>COUNTIF('34.TT'!CP6:CP26,2)</f>
        <v/>
      </c>
      <c r="S15" s="63">
        <f>COUNTIF('34.TT'!CP6:CP26,1)</f>
        <v/>
      </c>
      <c r="T15" s="73" t="n"/>
    </row>
    <row r="16" ht="15" customHeight="1">
      <c r="A16" s="64" t="inlineStr">
        <is>
          <t>Gazelle</t>
        </is>
      </c>
      <c r="B16" s="63">
        <f>VALUE('34.TT'!$CV$31)</f>
        <v/>
      </c>
      <c r="C16" s="64" t="n"/>
      <c r="D16" s="64" t="inlineStr">
        <is>
          <t>Gazelle</t>
        </is>
      </c>
      <c r="E16" s="63">
        <f>VALUE('34.TT'!$CV$33)</f>
        <v/>
      </c>
      <c r="F16" s="64" t="n"/>
      <c r="G16" s="64" t="inlineStr">
        <is>
          <t>Gazelle</t>
        </is>
      </c>
      <c r="H16" s="63">
        <f>VALUE('34.TT'!$CV$35)</f>
        <v/>
      </c>
      <c r="I16" s="63" t="n"/>
      <c r="J16" s="64" t="inlineStr">
        <is>
          <t>Gazelle</t>
        </is>
      </c>
      <c r="K16" s="63">
        <f>VALUE('34.TT'!$CV$37)</f>
        <v/>
      </c>
      <c r="M16" s="10" t="inlineStr">
        <is>
          <t>Gazelle</t>
        </is>
      </c>
      <c r="N16" s="11">
        <f>VALUE('34.TT'!CW39)+T16</f>
        <v/>
      </c>
      <c r="O16" s="11">
        <f>VALUE('34.TT'!CT39)</f>
        <v/>
      </c>
      <c r="P16" s="11">
        <f>VALUE('34.TT'!CU39)</f>
        <v/>
      </c>
      <c r="Q16" s="63">
        <f>COUNTIF('34.TT'!CV6:CV26,3)</f>
        <v/>
      </c>
      <c r="R16" s="63">
        <f>COUNTIF('34.TT'!CV6:CV26,2)</f>
        <v/>
      </c>
      <c r="S16" s="63">
        <f>COUNTIF('34.TT'!CV6:CV26,1)</f>
        <v/>
      </c>
      <c r="T16" s="73" t="n"/>
    </row>
    <row r="17" ht="15" customHeight="1">
      <c r="A17" s="64" t="inlineStr">
        <is>
          <t>Highländer</t>
        </is>
      </c>
      <c r="B17" s="63">
        <f>VALUE('34.TT'!$DB$31)</f>
        <v/>
      </c>
      <c r="C17" s="64" t="n"/>
      <c r="D17" s="64" t="inlineStr">
        <is>
          <t>Highländer</t>
        </is>
      </c>
      <c r="E17" s="63">
        <f>VALUE('34.TT'!$DB$33)</f>
        <v/>
      </c>
      <c r="F17" s="64" t="n"/>
      <c r="G17" s="64" t="inlineStr">
        <is>
          <t>Highländer</t>
        </is>
      </c>
      <c r="H17" s="63">
        <f>VALUE('34.TT'!$DB$35)</f>
        <v/>
      </c>
      <c r="I17" s="63" t="n"/>
      <c r="J17" s="64" t="inlineStr">
        <is>
          <t>Highländer</t>
        </is>
      </c>
      <c r="K17" s="63">
        <f>VALUE('34.TT'!$DB$37)</f>
        <v/>
      </c>
      <c r="M17" s="10" t="inlineStr">
        <is>
          <t>Highländer</t>
        </is>
      </c>
      <c r="N17" s="11">
        <f>VALUE('34.TT'!DC39)+T17</f>
        <v/>
      </c>
      <c r="O17" s="11">
        <f>VALUE('34.TT'!CZ39)</f>
        <v/>
      </c>
      <c r="P17" s="11">
        <f>VALUE('34.TT'!DA39)</f>
        <v/>
      </c>
      <c r="Q17" s="63">
        <f>COUNTIF('34.TT'!DB6:DB26,3)</f>
        <v/>
      </c>
      <c r="R17" s="63">
        <f>COUNTIF('34.TT'!DB6:DB26,2)</f>
        <v/>
      </c>
      <c r="S17" s="63">
        <f>COUNTIF('34.TT'!DB6:DB26,1)</f>
        <v/>
      </c>
      <c r="T17" s="73" t="n"/>
    </row>
    <row r="18" ht="15" customHeight="1">
      <c r="A18" s="64" t="inlineStr">
        <is>
          <t>Hoeness</t>
        </is>
      </c>
      <c r="B18" s="63">
        <f>VALUE('34.TT'!$DH$31)</f>
        <v/>
      </c>
      <c r="C18" s="64" t="n"/>
      <c r="D18" s="64" t="inlineStr">
        <is>
          <t>Hoeness</t>
        </is>
      </c>
      <c r="E18" s="63">
        <f>VALUE('34.TT'!$DH$33)</f>
        <v/>
      </c>
      <c r="F18" s="64" t="n"/>
      <c r="G18" s="64" t="inlineStr">
        <is>
          <t>Hoeness</t>
        </is>
      </c>
      <c r="H18" s="63">
        <f>VALUE('34.TT'!$DH$35)</f>
        <v/>
      </c>
      <c r="I18" s="63" t="n"/>
      <c r="J18" s="64" t="inlineStr">
        <is>
          <t>Hoeness</t>
        </is>
      </c>
      <c r="K18" s="63">
        <f>VALUE('34.TT'!$DH$37)</f>
        <v/>
      </c>
      <c r="M18" s="10" t="inlineStr">
        <is>
          <t>Hoeness</t>
        </is>
      </c>
      <c r="N18" s="11">
        <f>VALUE('34.TT'!DI39)+T18</f>
        <v/>
      </c>
      <c r="O18" s="11">
        <f>VALUE('34.TT'!DF39)</f>
        <v/>
      </c>
      <c r="P18" s="11">
        <f>VALUE('34.TT'!DG39)</f>
        <v/>
      </c>
      <c r="Q18" s="63">
        <f>COUNTIF('34.TT'!DH6:DH26,3)</f>
        <v/>
      </c>
      <c r="R18" s="63">
        <f>COUNTIF('34.TT'!DH6:DH26,2)</f>
        <v/>
      </c>
      <c r="S18" s="63">
        <f>COUNTIF('34.TT'!DH6:DH26,1)</f>
        <v/>
      </c>
      <c r="T18" s="73" t="n"/>
    </row>
    <row r="19" ht="15" customHeight="1">
      <c r="A19" s="64" t="inlineStr">
        <is>
          <t xml:space="preserve">Jay-Jay </t>
        </is>
      </c>
      <c r="B19" s="63">
        <f>VALUE('34.TT'!$DN$31)</f>
        <v/>
      </c>
      <c r="C19" s="64" t="n"/>
      <c r="D19" s="64" t="inlineStr">
        <is>
          <t xml:space="preserve">Jay-Jay </t>
        </is>
      </c>
      <c r="E19" s="63">
        <f>VALUE('34.TT'!$DN$33)</f>
        <v/>
      </c>
      <c r="F19" s="64" t="n"/>
      <c r="G19" s="64" t="inlineStr">
        <is>
          <t xml:space="preserve">Jay-Jay </t>
        </is>
      </c>
      <c r="H19" s="63">
        <f>VALUE('34.TT'!$DN$35)</f>
        <v/>
      </c>
      <c r="I19" s="63" t="n"/>
      <c r="J19" s="64" t="inlineStr">
        <is>
          <t xml:space="preserve">Jay-Jay </t>
        </is>
      </c>
      <c r="K19" s="63">
        <f>VALUE('34.TT'!$DN$37)</f>
        <v/>
      </c>
      <c r="M19" s="10" t="inlineStr">
        <is>
          <t xml:space="preserve">Jay-Jay </t>
        </is>
      </c>
      <c r="N19" s="11">
        <f>VALUE('34.TT'!DO39)+T19</f>
        <v/>
      </c>
      <c r="O19" s="11">
        <f>VALUE('34.TT'!DL39)</f>
        <v/>
      </c>
      <c r="P19" s="11">
        <f>VALUE('34.TT'!DM39)</f>
        <v/>
      </c>
      <c r="Q19" s="63">
        <f>COUNTIF('34.TT'!DN6:DN26,3)</f>
        <v/>
      </c>
      <c r="R19" s="63">
        <f>COUNTIF('34.TT'!DN6:DN26,2)</f>
        <v/>
      </c>
      <c r="S19" s="63">
        <f>COUNTIF('34.TT'!DN6:DN26,1)</f>
        <v/>
      </c>
      <c r="T19" s="73" t="n"/>
    </row>
    <row r="20" ht="15" customHeight="1">
      <c r="A20" s="64" t="inlineStr">
        <is>
          <t>Jukkel</t>
        </is>
      </c>
      <c r="B20" s="63">
        <f>VALUE('34.TT'!$DT$31)</f>
        <v/>
      </c>
      <c r="C20" s="64" t="n"/>
      <c r="D20" s="64" t="inlineStr">
        <is>
          <t>Jukkel</t>
        </is>
      </c>
      <c r="E20" s="63">
        <f>VALUE('34.TT'!$DT$33)</f>
        <v/>
      </c>
      <c r="F20" s="64" t="n"/>
      <c r="G20" s="64" t="inlineStr">
        <is>
          <t>Jukkel</t>
        </is>
      </c>
      <c r="H20" s="63">
        <f>VALUE('34.TT'!$DT$35)</f>
        <v/>
      </c>
      <c r="I20" s="63" t="n"/>
      <c r="J20" s="64" t="inlineStr">
        <is>
          <t>Jukkel</t>
        </is>
      </c>
      <c r="K20" s="63">
        <f>VALUE('34.TT'!$DT$37)</f>
        <v/>
      </c>
      <c r="M20" s="10" t="inlineStr">
        <is>
          <t>Jukkel</t>
        </is>
      </c>
      <c r="N20" s="11">
        <f>VALUE('34.TT'!DU39)+T20</f>
        <v/>
      </c>
      <c r="O20" s="11">
        <f>VALUE('34.TT'!DR39)</f>
        <v/>
      </c>
      <c r="P20" s="11">
        <f>VALUE('34.TT'!DS39)</f>
        <v/>
      </c>
      <c r="Q20" s="63">
        <f>COUNTIF('34.TT'!DT6:DT26,3)</f>
        <v/>
      </c>
      <c r="R20" s="63">
        <f>COUNTIF('34.TT'!DT6:DT26,2)</f>
        <v/>
      </c>
      <c r="S20" s="63">
        <f>COUNTIF('34.TT'!DT6:DT26,1)</f>
        <v/>
      </c>
      <c r="T20" s="73" t="n"/>
    </row>
    <row r="21" ht="15" customHeight="1">
      <c r="A21" s="64" t="inlineStr">
        <is>
          <t>kl.Schalke</t>
        </is>
      </c>
      <c r="B21" s="63">
        <f>VALUE('34.TT'!$DZ$31)</f>
        <v/>
      </c>
      <c r="C21" s="64" t="n"/>
      <c r="D21" s="64" t="inlineStr">
        <is>
          <t>kl.Schalke</t>
        </is>
      </c>
      <c r="E21" s="63">
        <f>VALUE('34.TT'!$DZ$33)</f>
        <v/>
      </c>
      <c r="F21" s="64" t="n"/>
      <c r="G21" s="64" t="inlineStr">
        <is>
          <t>kl.Schalke</t>
        </is>
      </c>
      <c r="H21" s="63">
        <f>VALUE('34.TT'!$DZ$35)</f>
        <v/>
      </c>
      <c r="I21" s="63" t="n"/>
      <c r="J21" s="64" t="inlineStr">
        <is>
          <t>kl.Schalke</t>
        </is>
      </c>
      <c r="K21" s="63">
        <f>VALUE('34.TT'!$DZ$37)</f>
        <v/>
      </c>
      <c r="M21" s="10" t="inlineStr">
        <is>
          <t>kl.Schalke</t>
        </is>
      </c>
      <c r="N21" s="11">
        <f>VALUE('34.TT'!EA39)+T21</f>
        <v/>
      </c>
      <c r="O21" s="11">
        <f>VALUE('34.TT'!DX39)</f>
        <v/>
      </c>
      <c r="P21" s="11">
        <f>VALUE('34.TT'!DY39)</f>
        <v/>
      </c>
      <c r="Q21" s="63">
        <f>COUNTIF('34.TT'!DZ6:DZ26,3)</f>
        <v/>
      </c>
      <c r="R21" s="63">
        <f>COUNTIF('34.TT'!DZ6:DZ26,2)</f>
        <v/>
      </c>
      <c r="S21" s="63">
        <f>COUNTIF('34.TT'!DZ6:DZ26,1)</f>
        <v/>
      </c>
      <c r="T21" s="73" t="n"/>
    </row>
    <row r="22" ht="15" customHeight="1">
      <c r="A22" s="64" t="inlineStr">
        <is>
          <t>Marilyn</t>
        </is>
      </c>
      <c r="B22" s="63">
        <f>VALUE('34.TT'!$EF$31)</f>
        <v/>
      </c>
      <c r="C22" s="64" t="n"/>
      <c r="D22" s="64" t="inlineStr">
        <is>
          <t>Marilyn</t>
        </is>
      </c>
      <c r="E22" s="63">
        <f>VALUE('34.TT'!$EF$33)</f>
        <v/>
      </c>
      <c r="F22" s="64" t="n"/>
      <c r="G22" s="64" t="inlineStr">
        <is>
          <t>Marilyn</t>
        </is>
      </c>
      <c r="H22" s="63">
        <f>VALUE('34.TT'!$EF$35)</f>
        <v/>
      </c>
      <c r="I22" s="63" t="n"/>
      <c r="J22" s="64" t="inlineStr">
        <is>
          <t>Marilyn</t>
        </is>
      </c>
      <c r="K22" s="63">
        <f>VALUE('34.TT'!$EF$37)</f>
        <v/>
      </c>
      <c r="M22" s="10" t="inlineStr">
        <is>
          <t>Marilyn</t>
        </is>
      </c>
      <c r="N22" s="11">
        <f>VALUE('34.TT'!EG39)+T22</f>
        <v/>
      </c>
      <c r="O22" s="11">
        <f>VALUE('34.TT'!ED39)</f>
        <v/>
      </c>
      <c r="P22" s="11">
        <f>VALUE('34.TT'!EE39)</f>
        <v/>
      </c>
      <c r="Q22" s="63">
        <f>COUNTIF('34.TT'!EF6:EF26,3)</f>
        <v/>
      </c>
      <c r="R22" s="63">
        <f>COUNTIF('34.TT'!EF6:EF26,2)</f>
        <v/>
      </c>
      <c r="S22" s="63">
        <f>COUNTIF('34.TT'!EF6:EF26,1)</f>
        <v/>
      </c>
      <c r="T22" s="73" t="n"/>
    </row>
    <row r="23" ht="15" customHeight="1">
      <c r="A23" s="64" t="inlineStr">
        <is>
          <t>Mazinho</t>
        </is>
      </c>
      <c r="B23" s="63">
        <f>VALUE('34.TT'!$EL$31)</f>
        <v/>
      </c>
      <c r="C23" s="64" t="n"/>
      <c r="D23" s="64" t="inlineStr">
        <is>
          <t>Mazinho</t>
        </is>
      </c>
      <c r="E23" s="63">
        <f>VALUE('34.TT'!$EL$33)</f>
        <v/>
      </c>
      <c r="F23" s="64" t="n"/>
      <c r="G23" s="64" t="inlineStr">
        <is>
          <t>Mazinho</t>
        </is>
      </c>
      <c r="H23" s="63">
        <f>VALUE('34.TT'!$EL$35)</f>
        <v/>
      </c>
      <c r="I23" s="63" t="n"/>
      <c r="J23" s="64" t="inlineStr">
        <is>
          <t>Mazinho</t>
        </is>
      </c>
      <c r="K23" s="63">
        <f>VALUE('34.TT'!$EL$37)</f>
        <v/>
      </c>
      <c r="M23" s="10" t="inlineStr">
        <is>
          <t>Mazinho</t>
        </is>
      </c>
      <c r="N23" s="11">
        <f>VALUE('34.TT'!EM39)+T23</f>
        <v/>
      </c>
      <c r="O23" s="11">
        <f>VALUE('34.TT'!EJ39)</f>
        <v/>
      </c>
      <c r="P23" s="11">
        <f>VALUE('34.TT'!EK39)</f>
        <v/>
      </c>
      <c r="Q23" s="63">
        <f>COUNTIF('34.TT'!EL6:EL26,3)</f>
        <v/>
      </c>
      <c r="R23" s="63">
        <f>COUNTIF('34.TT'!EL6:EL26,2)</f>
        <v/>
      </c>
      <c r="S23" s="63">
        <f>COUNTIF('34.TT'!EL6:EL26,1)</f>
        <v/>
      </c>
      <c r="T23" s="73" t="n"/>
    </row>
    <row r="24" ht="15" customHeight="1">
      <c r="A24" s="64" t="inlineStr">
        <is>
          <t>Parzival</t>
        </is>
      </c>
      <c r="B24" s="63">
        <f>VALUE('34.TT'!$ER$31)</f>
        <v/>
      </c>
      <c r="C24" s="64" t="n"/>
      <c r="D24" s="64" t="inlineStr">
        <is>
          <t>Parzival</t>
        </is>
      </c>
      <c r="E24" s="63">
        <f>VALUE('34.TT'!$ER$33)</f>
        <v/>
      </c>
      <c r="F24" s="64" t="n"/>
      <c r="G24" s="64" t="inlineStr">
        <is>
          <t>Parzival</t>
        </is>
      </c>
      <c r="H24" s="63">
        <f>VALUE('34.TT'!$ER$35)</f>
        <v/>
      </c>
      <c r="I24" s="63" t="n"/>
      <c r="J24" s="64" t="inlineStr">
        <is>
          <t>Parzival</t>
        </is>
      </c>
      <c r="K24" s="63">
        <f>VALUE('34.TT'!$ER$37)</f>
        <v/>
      </c>
      <c r="M24" s="10" t="inlineStr">
        <is>
          <t>Parzival</t>
        </is>
      </c>
      <c r="N24" s="11">
        <f>VALUE('34.TT'!ES39)+T24</f>
        <v/>
      </c>
      <c r="O24" s="11">
        <f>VALUE('34.TT'!EP39)</f>
        <v/>
      </c>
      <c r="P24" s="11">
        <f>VALUE('34.TT'!EQ39)</f>
        <v/>
      </c>
      <c r="Q24" s="63">
        <f>COUNTIF('34.TT'!ER6:ER26,3)</f>
        <v/>
      </c>
      <c r="R24" s="63">
        <f>COUNTIF('34.TT'!ER6:ER26,2)</f>
        <v/>
      </c>
      <c r="S24" s="63">
        <f>COUNTIF('34.TT'!ER6:ER26,1)</f>
        <v/>
      </c>
      <c r="T24" s="73" t="n"/>
    </row>
    <row r="25" ht="15" customHeight="1">
      <c r="A25" s="64" t="inlineStr">
        <is>
          <t>Rammway</t>
        </is>
      </c>
      <c r="B25" s="63">
        <f>VALUE('34.TT'!$EX$31)</f>
        <v/>
      </c>
      <c r="C25" s="64" t="n"/>
      <c r="D25" s="64" t="inlineStr">
        <is>
          <t>Rammway</t>
        </is>
      </c>
      <c r="E25" s="63">
        <f>VALUE('34.TT'!$EX$33)</f>
        <v/>
      </c>
      <c r="F25" s="64" t="n"/>
      <c r="G25" s="64" t="inlineStr">
        <is>
          <t>Rammway</t>
        </is>
      </c>
      <c r="H25" s="63">
        <f>VALUE('34.TT'!$EX$35)</f>
        <v/>
      </c>
      <c r="I25" s="63" t="n"/>
      <c r="J25" s="64" t="inlineStr">
        <is>
          <t>Rammway</t>
        </is>
      </c>
      <c r="K25" s="63">
        <f>VALUE('34.TT'!$EX$37)</f>
        <v/>
      </c>
      <c r="M25" s="10" t="inlineStr">
        <is>
          <t>Rammway</t>
        </is>
      </c>
      <c r="N25" s="11">
        <f>VALUE('34.TT'!EY39)+T25</f>
        <v/>
      </c>
      <c r="O25" s="11">
        <f>VALUE('34.TT'!EV39)</f>
        <v/>
      </c>
      <c r="P25" s="11">
        <f>VALUE('34.TT'!EW39)</f>
        <v/>
      </c>
      <c r="Q25" s="63">
        <f>COUNTIF('34.TT'!EX6:EX26,3)</f>
        <v/>
      </c>
      <c r="R25" s="63">
        <f>COUNTIF('34.TT'!EX6:EX26,2)</f>
        <v/>
      </c>
      <c r="S25" s="63">
        <f>COUNTIF('34.TT'!EX6:EX26,1)</f>
        <v/>
      </c>
      <c r="T25" s="73" t="n"/>
    </row>
    <row r="26" ht="15" customHeight="1">
      <c r="A26" s="64" t="inlineStr">
        <is>
          <t>Richy</t>
        </is>
      </c>
      <c r="B26" s="63">
        <f>VALUE('34.TT'!$FD$31)</f>
        <v/>
      </c>
      <c r="C26" s="64" t="n"/>
      <c r="D26" s="64" t="inlineStr">
        <is>
          <t>Richy</t>
        </is>
      </c>
      <c r="E26" s="63">
        <f>VALUE('34.TT'!$FD$33)</f>
        <v/>
      </c>
      <c r="F26" s="64" t="n"/>
      <c r="G26" s="64" t="inlineStr">
        <is>
          <t>Richy</t>
        </is>
      </c>
      <c r="H26" s="63">
        <f>VALUE('34.TT'!$FD$35)</f>
        <v/>
      </c>
      <c r="I26" s="63" t="n"/>
      <c r="J26" s="64" t="inlineStr">
        <is>
          <t>Richy</t>
        </is>
      </c>
      <c r="K26" s="63">
        <f>VALUE('34.TT'!$FD$37)</f>
        <v/>
      </c>
      <c r="M26" s="10" t="inlineStr">
        <is>
          <t>Richy</t>
        </is>
      </c>
      <c r="N26" s="11">
        <f>VALUE('34.TT'!FE39)+T26</f>
        <v/>
      </c>
      <c r="O26" s="11">
        <f>VALUE('34.TT'!FB39)</f>
        <v/>
      </c>
      <c r="P26" s="11">
        <f>VALUE('34.TT'!FC39)</f>
        <v/>
      </c>
      <c r="Q26" s="63">
        <f>COUNTIF('34.TT'!FD6:FD26,3)</f>
        <v/>
      </c>
      <c r="R26" s="63">
        <f>COUNTIF('34.TT'!FD6:FD26,2)</f>
        <v/>
      </c>
      <c r="S26" s="63">
        <f>COUNTIF('34.TT'!FD6:FD26,1)</f>
        <v/>
      </c>
      <c r="T26" s="73" t="n"/>
    </row>
    <row r="27" ht="15" customHeight="1">
      <c r="A27" s="64" t="inlineStr">
        <is>
          <t>Romax</t>
        </is>
      </c>
      <c r="B27" s="63">
        <f>VALUE('34.TT'!$FJ$31)</f>
        <v/>
      </c>
      <c r="C27" s="64" t="n"/>
      <c r="D27" s="64" t="inlineStr">
        <is>
          <t>Romax</t>
        </is>
      </c>
      <c r="E27" s="63">
        <f>VALUE('34.TT'!$FJ$33)</f>
        <v/>
      </c>
      <c r="F27" s="64" t="n"/>
      <c r="G27" s="64" t="inlineStr">
        <is>
          <t>Romax</t>
        </is>
      </c>
      <c r="H27" s="63">
        <f>VALUE('34.TT'!$FJ$35)</f>
        <v/>
      </c>
      <c r="I27" s="63" t="n"/>
      <c r="J27" s="64" t="inlineStr">
        <is>
          <t>Romax</t>
        </is>
      </c>
      <c r="K27" s="63">
        <f>VALUE('34.TT'!$FJ$37)</f>
        <v/>
      </c>
      <c r="M27" s="10" t="inlineStr">
        <is>
          <t>Romax</t>
        </is>
      </c>
      <c r="N27" s="11">
        <f>VALUE('34.TT'!FK39)+T27</f>
        <v/>
      </c>
      <c r="O27" s="11">
        <f>VALUE('34.TT'!FH39)</f>
        <v/>
      </c>
      <c r="P27" s="11">
        <f>VALUE('34.TT'!FI39)</f>
        <v/>
      </c>
      <c r="Q27" s="63">
        <f>COUNTIF('34.TT'!FJ6:FJ26,3)</f>
        <v/>
      </c>
      <c r="R27" s="63">
        <f>COUNTIF('34.TT'!FJ6:FJ26,2)</f>
        <v/>
      </c>
      <c r="S27" s="63">
        <f>COUNTIF('34.TT'!FJ6:FJ26,1)</f>
        <v/>
      </c>
      <c r="T27" s="73" t="n"/>
    </row>
    <row r="28" ht="15" customHeight="1">
      <c r="A28" s="64" t="inlineStr">
        <is>
          <t>Rörup</t>
        </is>
      </c>
      <c r="B28" s="63">
        <f>VALUE('34.TT'!$FP$31)</f>
        <v/>
      </c>
      <c r="C28" s="64" t="n"/>
      <c r="D28" s="64" t="inlineStr">
        <is>
          <t>Rörup</t>
        </is>
      </c>
      <c r="E28" s="63">
        <f>VALUE('34.TT'!$FP$33)</f>
        <v/>
      </c>
      <c r="F28" s="64" t="n"/>
      <c r="G28" s="64" t="inlineStr">
        <is>
          <t>Rörup</t>
        </is>
      </c>
      <c r="H28" s="63">
        <f>VALUE('34.TT'!$FP$35)</f>
        <v/>
      </c>
      <c r="I28" s="63" t="n"/>
      <c r="J28" s="64" t="inlineStr">
        <is>
          <t>Rörup</t>
        </is>
      </c>
      <c r="K28" s="63">
        <f>VALUE('34.TT'!$FP$37)</f>
        <v/>
      </c>
      <c r="M28" s="10" t="inlineStr">
        <is>
          <t>Rörup</t>
        </is>
      </c>
      <c r="N28" s="11">
        <f>VALUE('34.TT'!FQ39)+T28</f>
        <v/>
      </c>
      <c r="O28" s="11">
        <f>VALUE('34.TT'!FN39)</f>
        <v/>
      </c>
      <c r="P28" s="11">
        <f>VALUE('34.TT'!FO39)</f>
        <v/>
      </c>
      <c r="Q28" s="63">
        <f>COUNTIF('34.TT'!FP6:FP26,3)</f>
        <v/>
      </c>
      <c r="R28" s="63">
        <f>COUNTIF('34.TT'!FP6:FP26,2)</f>
        <v/>
      </c>
      <c r="S28" s="63">
        <f>COUNTIF('34.TT'!FP6:FP26,1)</f>
        <v/>
      </c>
      <c r="T28" s="73" t="n"/>
    </row>
    <row r="29" ht="15" customHeight="1">
      <c r="A29" s="64" t="inlineStr">
        <is>
          <t xml:space="preserve">Snake </t>
        </is>
      </c>
      <c r="B29" s="63">
        <f>VALUE('34.TT'!$FV$31)</f>
        <v/>
      </c>
      <c r="C29" s="64" t="n"/>
      <c r="D29" s="64" t="inlineStr">
        <is>
          <t xml:space="preserve">Snake </t>
        </is>
      </c>
      <c r="E29" s="63">
        <f>VALUE('34.TT'!$FV$33)</f>
        <v/>
      </c>
      <c r="F29" s="64" t="n"/>
      <c r="G29" s="64" t="inlineStr">
        <is>
          <t xml:space="preserve">Snake </t>
        </is>
      </c>
      <c r="H29" s="63">
        <f>VALUE('34.TT'!$FV$35)</f>
        <v/>
      </c>
      <c r="I29" s="63" t="n"/>
      <c r="J29" s="64" t="inlineStr">
        <is>
          <t xml:space="preserve">Snake </t>
        </is>
      </c>
      <c r="K29" s="63">
        <f>VALUE('34.TT'!$FV$37)</f>
        <v/>
      </c>
      <c r="M29" s="10" t="inlineStr">
        <is>
          <t xml:space="preserve">Snake </t>
        </is>
      </c>
      <c r="N29" s="11">
        <f>VALUE('34.TT'!FW39)+T29</f>
        <v/>
      </c>
      <c r="O29" s="11">
        <f>VALUE('34.TT'!FT39)</f>
        <v/>
      </c>
      <c r="P29" s="11">
        <f>VALUE('34.TT'!FU39)</f>
        <v/>
      </c>
      <c r="Q29" s="63">
        <f>COUNTIF('34.TT'!FV6:FV26,3)</f>
        <v/>
      </c>
      <c r="R29" s="63">
        <f>COUNTIF('34.TT'!FV6:FV26,2)</f>
        <v/>
      </c>
      <c r="S29" s="63">
        <f>COUNTIF('34.TT'!FV6:FV26,1)</f>
        <v/>
      </c>
      <c r="T29" s="73" t="n"/>
    </row>
    <row r="30" ht="15" customHeight="1">
      <c r="A30" s="64" t="inlineStr">
        <is>
          <t xml:space="preserve">Underduck </t>
        </is>
      </c>
      <c r="B30" s="63">
        <f>VALUE('34.TT'!$GB$31)</f>
        <v/>
      </c>
      <c r="C30" s="64" t="n"/>
      <c r="D30" s="64" t="inlineStr">
        <is>
          <t xml:space="preserve">Underduck </t>
        </is>
      </c>
      <c r="E30" s="63">
        <f>VALUE('34.TT'!$GB$33)</f>
        <v/>
      </c>
      <c r="F30" s="64" t="n"/>
      <c r="G30" s="64" t="inlineStr">
        <is>
          <t xml:space="preserve">Underduck </t>
        </is>
      </c>
      <c r="H30" s="63">
        <f>VALUE('34.TT'!$GB$35)</f>
        <v/>
      </c>
      <c r="I30" s="63" t="n"/>
      <c r="J30" s="64" t="inlineStr">
        <is>
          <t xml:space="preserve">Underduck </t>
        </is>
      </c>
      <c r="K30" s="63">
        <f>VALUE('34.TT'!$GB$37)</f>
        <v/>
      </c>
      <c r="M30" s="10" t="inlineStr">
        <is>
          <t xml:space="preserve">Underduck </t>
        </is>
      </c>
      <c r="N30" s="11">
        <f>VALUE('34.TT'!GC39)+T30</f>
        <v/>
      </c>
      <c r="O30" s="11">
        <f>VALUE('34.TT'!FZ39)</f>
        <v/>
      </c>
      <c r="P30" s="11">
        <f>VALUE('34.TT'!GA39)</f>
        <v/>
      </c>
      <c r="Q30" s="63">
        <f>COUNTIF('34.TT'!GB6:GB26,3)</f>
        <v/>
      </c>
      <c r="R30" s="63">
        <f>COUNTIF('34.TT'!GB6:GB26,2)</f>
        <v/>
      </c>
      <c r="S30" s="63">
        <f>COUNTIF('34.TT'!GB6:GB26,1)</f>
        <v/>
      </c>
      <c r="T30" s="73" t="n"/>
    </row>
    <row r="31" ht="15" customHeight="1">
      <c r="A31" s="64" t="inlineStr">
        <is>
          <t>Willi60</t>
        </is>
      </c>
      <c r="B31" s="63">
        <f>VALUE('34.TT'!$GH$31)</f>
        <v/>
      </c>
      <c r="C31" s="64" t="n"/>
      <c r="D31" s="64" t="inlineStr">
        <is>
          <t>Willi60</t>
        </is>
      </c>
      <c r="E31" s="63">
        <f>VALUE('34.TT'!$GH$33)</f>
        <v/>
      </c>
      <c r="F31" s="64" t="n"/>
      <c r="G31" s="64" t="inlineStr">
        <is>
          <t>Willi60</t>
        </is>
      </c>
      <c r="H31" s="63">
        <f>VALUE('34.TT'!$GH$35)</f>
        <v/>
      </c>
      <c r="I31" s="63" t="n"/>
      <c r="J31" s="64" t="inlineStr">
        <is>
          <t>Willi60</t>
        </is>
      </c>
      <c r="K31" s="63">
        <f>VALUE('34.TT'!$GH$37)</f>
        <v/>
      </c>
      <c r="M31" s="10" t="inlineStr">
        <is>
          <t>Willi60</t>
        </is>
      </c>
      <c r="N31" s="11">
        <f>VALUE('34.TT'!GI39)+T31</f>
        <v/>
      </c>
      <c r="O31" s="11">
        <f>VALUE('34.TT'!GF39)</f>
        <v/>
      </c>
      <c r="P31" s="11">
        <f>VALUE('34.TT'!GG39)</f>
        <v/>
      </c>
      <c r="Q31" s="63">
        <f>COUNTIF('34.TT'!GH6:GH26,3)</f>
        <v/>
      </c>
      <c r="R31" s="63">
        <f>COUNTIF('34.TT'!GH6:GH26,2)</f>
        <v/>
      </c>
      <c r="S31" s="63">
        <f>COUNTIF('34.TT'!GH6:GH26,1)</f>
        <v/>
      </c>
      <c r="T31" s="73" t="n"/>
    </row>
    <row r="32" ht="15" customHeight="1">
      <c r="A32" s="64" t="inlineStr">
        <is>
          <t xml:space="preserve">Yeti </t>
        </is>
      </c>
      <c r="B32" s="63">
        <f>VALUE('34.TT'!$GN$31)</f>
        <v/>
      </c>
      <c r="C32" s="64" t="n"/>
      <c r="D32" s="64" t="inlineStr">
        <is>
          <t xml:space="preserve">Yeti </t>
        </is>
      </c>
      <c r="E32" s="63">
        <f>VALUE('34.TT'!$GN$33)</f>
        <v/>
      </c>
      <c r="F32" s="64" t="n"/>
      <c r="G32" s="64" t="inlineStr">
        <is>
          <t xml:space="preserve">Yeti </t>
        </is>
      </c>
      <c r="H32" s="63">
        <f>VALUE('34.TT'!$GN$35)</f>
        <v/>
      </c>
      <c r="I32" s="63" t="n"/>
      <c r="J32" s="64" t="inlineStr">
        <is>
          <t xml:space="preserve">Yeti </t>
        </is>
      </c>
      <c r="K32" s="63">
        <f>VALUE('34.TT'!$GN$37)</f>
        <v/>
      </c>
      <c r="M32" s="10" t="inlineStr">
        <is>
          <t xml:space="preserve">Yeti </t>
        </is>
      </c>
      <c r="N32" s="11">
        <f>VALUE('34.TT'!GO39)+T32</f>
        <v/>
      </c>
      <c r="O32" s="11">
        <f>VALUE('34.TT'!GL39)</f>
        <v/>
      </c>
      <c r="P32" s="11">
        <f>VALUE('34.TT'!GM39)</f>
        <v/>
      </c>
      <c r="Q32" s="63">
        <f>COUNTIF('34.TT'!GN6:GN26,3)</f>
        <v/>
      </c>
      <c r="R32" s="63">
        <f>COUNTIF('34.TT'!GN6:GN26,2)</f>
        <v/>
      </c>
      <c r="S32" s="63">
        <f>COUNTIF('34.TT'!GN6:GN26,1)</f>
        <v/>
      </c>
      <c r="T32" s="73" t="n"/>
    </row>
    <row r="33" ht="15" customHeight="1">
      <c r="A33" s="64" t="inlineStr">
        <is>
          <t>Yves</t>
        </is>
      </c>
      <c r="B33" s="63">
        <f>VALUE('34.TT'!$GT$31)</f>
        <v/>
      </c>
      <c r="C33" s="64" t="n"/>
      <c r="D33" s="64" t="inlineStr">
        <is>
          <t>Yves</t>
        </is>
      </c>
      <c r="E33" s="63">
        <f>VALUE('34.TT'!$GT$33)</f>
        <v/>
      </c>
      <c r="F33" s="64" t="n"/>
      <c r="G33" s="64" t="inlineStr">
        <is>
          <t>Yves</t>
        </is>
      </c>
      <c r="H33" s="63">
        <f>VALUE('34.TT'!$GT$35)</f>
        <v/>
      </c>
      <c r="I33" s="63" t="n"/>
      <c r="J33" s="64" t="inlineStr">
        <is>
          <t>Yves</t>
        </is>
      </c>
      <c r="K33" s="63">
        <f>VALUE('34.TT'!$GT37)</f>
        <v/>
      </c>
      <c r="M33" s="10" t="inlineStr">
        <is>
          <t>Yves</t>
        </is>
      </c>
      <c r="N33" s="11">
        <f>VALUE('34.TT'!GU39)+T33</f>
        <v/>
      </c>
      <c r="O33" s="11">
        <f>VALUE('34.TT'!GR39)</f>
        <v/>
      </c>
      <c r="P33" s="11">
        <f>VALUE('34.TT'!GS39)</f>
        <v/>
      </c>
      <c r="Q33" s="63">
        <f>COUNTIF('34.TT'!GT6:GT26,3)</f>
        <v/>
      </c>
      <c r="R33" s="63">
        <f>COUNTIF('34.TT'!GT6:GT26,2)</f>
        <v/>
      </c>
      <c r="S33" s="63">
        <f>COUNTIF('34.TT'!GT6:GT26,1)</f>
        <v/>
      </c>
      <c r="T33" s="73" t="n"/>
    </row>
    <row r="34">
      <c r="B34" s="8">
        <f>SUM(B2:B33)</f>
        <v/>
      </c>
      <c r="E34" s="8">
        <f>SUM(E2:E33)</f>
        <v/>
      </c>
      <c r="H34" s="8">
        <f>SUM(H2:H33)</f>
        <v/>
      </c>
      <c r="J34" s="7" t="n"/>
      <c r="K34" s="8">
        <f>SUM(K2:K33)</f>
        <v/>
      </c>
      <c r="N34" s="8">
        <f>SUM(N2:N33)</f>
        <v/>
      </c>
      <c r="O34" s="8">
        <f>SUM(O2:O33)</f>
        <v/>
      </c>
      <c r="P34" s="8">
        <f>SUM(P2:P33)</f>
        <v/>
      </c>
      <c r="Q34" s="8">
        <f>SUM(Q2:Q33)</f>
        <v/>
      </c>
      <c r="R34" s="8">
        <f>SUM(R2:R33)</f>
        <v/>
      </c>
      <c r="S34" s="8">
        <f>SUM(S2:S33)</f>
        <v/>
      </c>
    </row>
    <row r="35">
      <c r="B35" s="12">
        <f>(B34/32)</f>
        <v/>
      </c>
      <c r="E35" s="12">
        <f>(E34/32)</f>
        <v/>
      </c>
      <c r="H35" s="12">
        <f>(H34/32)</f>
        <v/>
      </c>
      <c r="J35" s="7" t="n"/>
      <c r="K35" s="12">
        <f>(K34/32)</f>
        <v/>
      </c>
      <c r="N35" s="12">
        <f>(N34/32)</f>
        <v/>
      </c>
      <c r="O35" s="12">
        <f>(O34/32)</f>
        <v/>
      </c>
      <c r="P35" s="12">
        <f>(P34/32)</f>
        <v/>
      </c>
      <c r="Q35" s="75">
        <f>(Q34/32)</f>
        <v/>
      </c>
      <c r="R35" s="75">
        <f>(R34/32)</f>
        <v/>
      </c>
      <c r="S35" s="75">
        <f>(S34/32)</f>
        <v/>
      </c>
    </row>
    <row r="37">
      <c r="N37" s="71" t="inlineStr">
        <is>
          <t>Zusatzpunkte händisch hier eintragen</t>
        </is>
      </c>
      <c r="O37" s="71" t="n"/>
      <c r="P37" s="72" t="n"/>
      <c r="Q37" s="71" t="n"/>
      <c r="R37" s="71" t="n"/>
    </row>
  </sheetData>
  <conditionalFormatting sqref="B2:B33 E2:E33 H2:H33 K2:K33 O2:S33">
    <cfRule type="top10" rank="1" priority="12" dxfId="3" stopIfTrue="1"/>
  </conditionalFormatting>
  <conditionalFormatting sqref="B2:B33">
    <cfRule type="top10" rank="1" priority="9" dxfId="3" stopIfTrue="1"/>
  </conditionalFormatting>
  <conditionalFormatting sqref="E2:E33">
    <cfRule type="top10" rank="1" priority="8" dxfId="3" stopIfTrue="1"/>
  </conditionalFormatting>
  <conditionalFormatting sqref="H2:H33">
    <cfRule type="top10" rank="1" priority="7" dxfId="3" stopIfTrue="1"/>
  </conditionalFormatting>
  <conditionalFormatting sqref="K2:K33">
    <cfRule type="top10" rank="1" priority="6" dxfId="3" stopIfTrue="1"/>
  </conditionalFormatting>
  <conditionalFormatting sqref="N2:N33">
    <cfRule type="top10" rank="3" priority="10" dxfId="3" stopIfTrue="1"/>
    <cfRule type="top10" rank="3" priority="11" dxfId="3" stopIfTrue="1"/>
  </conditionalFormatting>
  <conditionalFormatting sqref="O2:O33">
    <cfRule type="top10" rank="1" priority="5" dxfId="3" stopIfTrue="1"/>
  </conditionalFormatting>
  <conditionalFormatting sqref="P2:P33">
    <cfRule type="top10" rank="1" priority="4" dxfId="3" stopIfTrue="1"/>
  </conditionalFormatting>
  <conditionalFormatting sqref="Q2:Q33">
    <cfRule type="top10" rank="1" priority="3" dxfId="3" stopIfTrue="1"/>
  </conditionalFormatting>
  <conditionalFormatting sqref="R2:R33">
    <cfRule type="top10" rank="1" priority="2" dxfId="3" stopIfTrue="1"/>
  </conditionalFormatting>
  <conditionalFormatting sqref="S2:S33">
    <cfRule type="top10" rank="1" priority="1" dxfId="3" stopIfTrue="1"/>
  </conditionalFormatting>
  <pageMargins left="0.5905511811023623" right="0.5905511811023623" top="0.3937007874015748" bottom="0.3937007874015748" header="0.5118110236220472" footer="0.5118110236220472"/>
  <pageSetup orientation="landscape" paperSize="9" scale="95" horizontalDpi="1200" verticalDpi="1200"/>
</worksheet>
</file>

<file path=xl/worksheets/sheet2.xml><?xml version="1.0" encoding="utf-8"?>
<worksheet xmlns="http://schemas.openxmlformats.org/spreadsheetml/2006/main">
  <sheetPr>
    <tabColor indexed="14"/>
    <outlinePr summaryBelow="1" summaryRight="1"/>
    <pageSetUpPr/>
  </sheetPr>
  <dimension ref="A1:GV42"/>
  <sheetViews>
    <sheetView tabSelected="1" zoomScale="80" zoomScaleNormal="80" workbookViewId="0">
      <pane xSplit="11" topLeftCell="L1" activePane="topRight" state="frozen"/>
      <selection pane="topRight" activeCell="G31" sqref="G31"/>
    </sheetView>
  </sheetViews>
  <sheetFormatPr baseColWidth="10" defaultRowHeight="15"/>
  <cols>
    <col width="2.44140625" customWidth="1" min="1" max="1"/>
    <col width="16.77734375" customWidth="1" min="2" max="2"/>
    <col width="1.44140625" customWidth="1" style="1" min="3" max="3"/>
    <col width="16.77734375" customWidth="1" min="4" max="4"/>
    <col width="2.6640625" customWidth="1" style="1" min="5" max="5"/>
    <col width="1.33203125" customWidth="1" style="1" min="6" max="6"/>
    <col width="2.6640625" customWidth="1" style="1" min="7" max="11"/>
    <col width="6.6640625" customWidth="1" style="1" min="12" max="12"/>
    <col width="2.77734375" customWidth="1" style="1" min="13" max="15"/>
    <col width="4.33203125" bestFit="1" customWidth="1" min="16" max="16"/>
    <col width="4.33203125" customWidth="1" min="17" max="17"/>
    <col width="4.109375" customWidth="1" min="18" max="18"/>
    <col width="2.77734375" customWidth="1" style="1" min="19" max="21"/>
    <col width="4.33203125" bestFit="1" customWidth="1" min="22" max="22"/>
    <col width="4.33203125" customWidth="1" min="23" max="23"/>
    <col width="4.109375" customWidth="1" min="24" max="24"/>
    <col width="2.77734375" customWidth="1" style="1" min="25" max="27"/>
    <col width="4.33203125" bestFit="1" customWidth="1" min="28" max="28"/>
    <col width="4.33203125" customWidth="1" min="29" max="29"/>
    <col width="4.109375" customWidth="1" min="30" max="30"/>
    <col width="2.77734375" customWidth="1" style="1" min="31" max="33"/>
    <col width="4.33203125" bestFit="1" customWidth="1" min="34" max="34"/>
    <col width="4.33203125" customWidth="1" min="35" max="35"/>
    <col width="4.109375" customWidth="1" min="36" max="36"/>
    <col width="2.77734375" customWidth="1" style="1" min="37" max="39"/>
    <col width="4.33203125" bestFit="1" customWidth="1" min="40" max="40"/>
    <col width="4.33203125" customWidth="1" min="41" max="41"/>
    <col width="4.109375" customWidth="1" min="42" max="42"/>
    <col width="2.77734375" customWidth="1" style="1" min="43" max="45"/>
    <col width="4.33203125" bestFit="1" customWidth="1" min="46" max="46"/>
    <col width="4.33203125" customWidth="1" min="47" max="47"/>
    <col width="4.109375" customWidth="1" min="48" max="48"/>
    <col width="2.77734375" customWidth="1" style="1" min="49" max="51"/>
    <col width="4.33203125" bestFit="1" customWidth="1" min="52" max="52"/>
    <col width="4.33203125" customWidth="1" min="53" max="53"/>
    <col width="4.109375" customWidth="1" min="54" max="54"/>
    <col width="2.77734375" customWidth="1" style="1" min="55" max="57"/>
    <col width="4.33203125" bestFit="1" customWidth="1" min="58" max="58"/>
    <col width="4.33203125" customWidth="1" min="59" max="59"/>
    <col width="4.109375" customWidth="1" min="60" max="60"/>
    <col width="2.77734375" customWidth="1" style="1" min="61" max="63"/>
    <col width="4.33203125" bestFit="1" customWidth="1" min="64" max="64"/>
    <col width="4.33203125" customWidth="1" min="65" max="65"/>
    <col width="4.109375" customWidth="1" min="66" max="66"/>
    <col width="2.77734375" customWidth="1" style="1" min="67" max="69"/>
    <col width="4.33203125" bestFit="1" customWidth="1" min="70" max="70"/>
    <col width="4.33203125" customWidth="1" min="71" max="71"/>
    <col width="4.109375" customWidth="1" min="72" max="72"/>
    <col width="2.77734375" customWidth="1" style="1" min="73" max="75"/>
    <col width="4.33203125" bestFit="1" customWidth="1" min="76" max="76"/>
    <col width="4.33203125" customWidth="1" min="77" max="77"/>
    <col width="4.109375" customWidth="1" min="78" max="78"/>
    <col width="2.77734375" customWidth="1" style="1" min="79" max="81"/>
    <col width="4.33203125" bestFit="1" customWidth="1" min="82" max="82"/>
    <col width="4.33203125" customWidth="1" min="83" max="83"/>
    <col width="4.109375" customWidth="1" min="84" max="84"/>
    <col width="2.77734375" customWidth="1" style="1" min="85" max="87"/>
    <col width="4.33203125" bestFit="1" customWidth="1" min="88" max="88"/>
    <col width="4.33203125" customWidth="1" min="89" max="89"/>
    <col width="4.109375" customWidth="1" min="90" max="90"/>
    <col width="2.77734375" customWidth="1" style="1" min="91" max="93"/>
    <col width="4.33203125" bestFit="1" customWidth="1" min="94" max="94"/>
    <col width="4.33203125" customWidth="1" min="95" max="95"/>
    <col width="4.109375" customWidth="1" min="96" max="96"/>
    <col width="2.77734375" customWidth="1" style="1" min="97" max="99"/>
    <col width="4.33203125" bestFit="1" customWidth="1" min="100" max="100"/>
    <col width="4.33203125" customWidth="1" min="101" max="101"/>
    <col width="4.109375" customWidth="1" min="102" max="102"/>
    <col width="2.77734375" customWidth="1" style="1" min="103" max="105"/>
    <col width="4.33203125" bestFit="1" customWidth="1" min="106" max="106"/>
    <col width="4.33203125" customWidth="1" min="107" max="107"/>
    <col width="4.109375" customWidth="1" min="108" max="108"/>
    <col width="2.77734375" customWidth="1" style="1" min="109" max="111"/>
    <col width="4.33203125" bestFit="1" customWidth="1" min="112" max="112"/>
    <col width="4.33203125" customWidth="1" min="113" max="113"/>
    <col width="4.109375" customWidth="1" min="114" max="114"/>
    <col width="2.77734375" customWidth="1" style="1" min="115" max="117"/>
    <col width="4.33203125" bestFit="1" customWidth="1" min="118" max="118"/>
    <col width="4.33203125" customWidth="1" min="119" max="119"/>
    <col width="4.109375" customWidth="1" min="120" max="120"/>
    <col width="2.77734375" customWidth="1" style="1" min="121" max="123"/>
    <col width="4.33203125" bestFit="1" customWidth="1" min="124" max="124"/>
    <col width="4.33203125" customWidth="1" min="125" max="125"/>
    <col width="4.109375" customWidth="1" min="126" max="126"/>
    <col width="2.77734375" customWidth="1" style="1" min="127" max="129"/>
    <col width="4.33203125" bestFit="1" customWidth="1" min="130" max="130"/>
    <col width="4.33203125" customWidth="1" min="131" max="131"/>
    <col width="4.109375" customWidth="1" min="132" max="132"/>
    <col width="2.77734375" customWidth="1" style="1" min="133" max="135"/>
    <col width="4.33203125" bestFit="1" customWidth="1" min="136" max="136"/>
    <col width="4.33203125" customWidth="1" min="137" max="137"/>
    <col width="4.109375" customWidth="1" min="138" max="138"/>
    <col width="2.77734375" customWidth="1" style="1" min="139" max="141"/>
    <col width="4.33203125" bestFit="1" customWidth="1" min="142" max="142"/>
    <col width="4.33203125" customWidth="1" min="143" max="143"/>
    <col width="4.109375" customWidth="1" min="144" max="144"/>
    <col width="2.77734375" customWidth="1" style="1" min="145" max="147"/>
    <col width="4.33203125" bestFit="1" customWidth="1" min="148" max="148"/>
    <col width="4.33203125" customWidth="1" min="149" max="149"/>
    <col width="4.109375" customWidth="1" min="150" max="150"/>
    <col width="2.77734375" customWidth="1" style="1" min="151" max="153"/>
    <col width="4.33203125" bestFit="1" customWidth="1" min="154" max="154"/>
    <col width="4.33203125" customWidth="1" min="155" max="155"/>
    <col width="4.109375" customWidth="1" min="156" max="156"/>
    <col width="2.77734375" customWidth="1" style="1" min="157" max="159"/>
    <col width="4.33203125" bestFit="1" customWidth="1" min="160" max="160"/>
    <col width="4.33203125" customWidth="1" min="161" max="161"/>
    <col width="4.109375" customWidth="1" min="162" max="162"/>
    <col width="2.77734375" customWidth="1" style="1" min="163" max="165"/>
    <col width="4.33203125" bestFit="1" customWidth="1" min="166" max="166"/>
    <col width="4.33203125" customWidth="1" min="167" max="167"/>
    <col width="4.109375" customWidth="1" min="168" max="168"/>
    <col width="2.77734375" customWidth="1" style="1" min="169" max="171"/>
    <col width="4.33203125" bestFit="1" customWidth="1" min="172" max="172"/>
    <col width="4.33203125" customWidth="1" min="173" max="173"/>
    <col width="4.109375" customWidth="1" min="174" max="174"/>
    <col width="2.77734375" customWidth="1" style="1" min="175" max="177"/>
    <col width="4.33203125" bestFit="1" customWidth="1" min="178" max="178"/>
    <col width="4.33203125" customWidth="1" min="179" max="179"/>
    <col width="4.109375" customWidth="1" min="180" max="180"/>
    <col width="2.77734375" customWidth="1" style="1" min="181" max="183"/>
    <col width="4.33203125" bestFit="1" customWidth="1" min="184" max="184"/>
    <col width="4.33203125" customWidth="1" min="185" max="185"/>
    <col width="4.109375" customWidth="1" min="186" max="186"/>
    <col width="2.77734375" customWidth="1" style="1" min="187" max="189"/>
    <col width="4.33203125" bestFit="1" customWidth="1" min="190" max="190"/>
    <col width="4.33203125" customWidth="1" min="191" max="191"/>
    <col width="4.109375" customWidth="1" min="192" max="192"/>
    <col width="2.77734375" customWidth="1" style="1" min="193" max="195"/>
    <col width="4.33203125" bestFit="1" customWidth="1" min="196" max="196"/>
    <col width="4.33203125" customWidth="1" min="197" max="197"/>
    <col width="4.109375" customWidth="1" min="198" max="198"/>
    <col width="2.77734375" customWidth="1" style="1" min="199" max="201"/>
    <col width="4.33203125" bestFit="1" customWidth="1" min="202" max="202"/>
    <col width="4.33203125" customWidth="1" min="203" max="203"/>
    <col width="4.109375" customWidth="1" min="204" max="204"/>
  </cols>
  <sheetData>
    <row r="1" ht="20.25" customHeight="1">
      <c r="B1" s="82" t="inlineStr">
        <is>
          <t>34.TT</t>
        </is>
      </c>
      <c r="C1" s="83" t="n"/>
      <c r="D1" s="84" t="n"/>
      <c r="R1" s="4" t="n"/>
      <c r="X1" s="4" t="n"/>
      <c r="AD1" s="4" t="n"/>
      <c r="AJ1" s="4" t="n"/>
      <c r="AP1" s="4" t="n"/>
      <c r="AV1" s="4" t="n"/>
      <c r="BB1" s="4" t="n"/>
      <c r="BH1" s="4" t="n"/>
      <c r="BN1" s="4" t="n"/>
      <c r="BT1" s="4" t="n"/>
      <c r="BZ1" s="4" t="n"/>
      <c r="CF1" s="4" t="n"/>
      <c r="CL1" s="4" t="n"/>
      <c r="CR1" s="4" t="n"/>
      <c r="CX1" s="4" t="n"/>
      <c r="DD1" s="4" t="n"/>
      <c r="DJ1" s="4" t="n"/>
      <c r="DP1" s="4" t="n"/>
      <c r="DV1" s="4" t="n"/>
      <c r="EB1" s="4" t="n"/>
      <c r="EH1" s="4" t="n"/>
      <c r="EN1" s="4" t="n"/>
      <c r="ET1" s="4" t="n"/>
      <c r="EZ1" s="4" t="n"/>
      <c r="FF1" s="4" t="n"/>
      <c r="FL1" s="4" t="n"/>
      <c r="FR1" s="4" t="n"/>
      <c r="FX1" s="4" t="n"/>
      <c r="GD1" s="4" t="n"/>
      <c r="GJ1" s="4" t="n"/>
      <c r="GP1" s="4" t="n"/>
      <c r="GV1" s="4" t="n"/>
    </row>
    <row r="2" ht="15.75" customHeight="1">
      <c r="R2" s="4" t="n"/>
      <c r="X2" s="4" t="n"/>
      <c r="AD2" s="4" t="n"/>
      <c r="AJ2" s="4" t="n"/>
      <c r="AP2" s="4" t="n"/>
      <c r="AV2" s="4" t="n"/>
      <c r="BB2" s="4" t="n"/>
      <c r="BH2" s="4" t="n"/>
      <c r="BN2" s="4" t="n"/>
      <c r="BT2" s="4" t="n"/>
      <c r="BZ2" s="4" t="n"/>
      <c r="CF2" s="4" t="n"/>
      <c r="CL2" s="4" t="n"/>
      <c r="CR2" s="4" t="n"/>
      <c r="CX2" s="4" t="n"/>
      <c r="DD2" s="4" t="n"/>
      <c r="DJ2" s="4" t="n"/>
      <c r="DP2" s="4" t="n"/>
      <c r="DV2" s="4" t="n"/>
      <c r="EB2" s="4" t="n"/>
      <c r="EH2" s="4" t="n"/>
      <c r="EN2" s="4" t="n"/>
      <c r="ET2" s="4" t="n"/>
      <c r="EZ2" s="4" t="n"/>
      <c r="FF2" s="4" t="n"/>
      <c r="FL2" s="4" t="n"/>
      <c r="FR2" s="4" t="n"/>
      <c r="FX2" s="4" t="n"/>
      <c r="GD2" s="4" t="n"/>
      <c r="GJ2" s="4" t="n"/>
      <c r="GP2" s="4" t="n"/>
      <c r="GV2" s="4" t="n"/>
    </row>
    <row r="3" ht="15.75" customHeight="1">
      <c r="B3" s="76" t="inlineStr">
        <is>
          <t>16.05. - 17.05.</t>
        </is>
      </c>
      <c r="C3" s="66" t="n"/>
      <c r="D3" s="57" t="inlineStr">
        <is>
          <t>Name:</t>
        </is>
      </c>
      <c r="E3" s="13" t="n"/>
      <c r="F3" s="13" t="n"/>
      <c r="G3" s="13" t="n"/>
      <c r="H3" s="13" t="n"/>
      <c r="I3" s="13" t="n"/>
      <c r="J3" s="13" t="n"/>
      <c r="K3" s="13" t="n"/>
      <c r="L3" s="14" t="n"/>
      <c r="M3" s="38" t="n"/>
      <c r="N3" s="39" t="inlineStr">
        <is>
          <t>Bächli</t>
        </is>
      </c>
      <c r="O3" s="40" t="n"/>
      <c r="P3" s="41" t="n"/>
      <c r="Q3" s="42" t="n"/>
      <c r="R3" s="14" t="n"/>
      <c r="S3" s="38" t="n"/>
      <c r="T3" s="39" t="inlineStr">
        <is>
          <t>Bene</t>
        </is>
      </c>
      <c r="U3" s="40" t="n"/>
      <c r="V3" s="41" t="n"/>
      <c r="W3" s="42" t="n"/>
      <c r="X3" s="14" t="n"/>
      <c r="Y3" s="38" t="n"/>
      <c r="Z3" s="39" t="inlineStr">
        <is>
          <t>Boller</t>
        </is>
      </c>
      <c r="AA3" s="40" t="n"/>
      <c r="AB3" s="41" t="n"/>
      <c r="AC3" s="42" t="n"/>
      <c r="AD3" s="14" t="n"/>
      <c r="AE3" s="38" t="n"/>
      <c r="AF3" s="39" t="inlineStr">
        <is>
          <t>Bussi</t>
        </is>
      </c>
      <c r="AG3" s="40" t="n"/>
      <c r="AH3" s="41" t="n"/>
      <c r="AI3" s="42" t="n"/>
      <c r="AJ3" s="14" t="n"/>
      <c r="AK3" s="38" t="n"/>
      <c r="AL3" s="39" t="inlineStr">
        <is>
          <t>Christkind</t>
        </is>
      </c>
      <c r="AM3" s="40" t="n"/>
      <c r="AN3" s="41" t="n"/>
      <c r="AO3" s="42" t="n"/>
      <c r="AP3" s="14" t="n"/>
      <c r="AQ3" s="43" t="n"/>
      <c r="AR3" s="44" t="inlineStr">
        <is>
          <t>Cordoba</t>
        </is>
      </c>
      <c r="AS3" s="45" t="n"/>
      <c r="AT3" s="46" t="n"/>
      <c r="AU3" s="47" t="n"/>
      <c r="AV3" s="14" t="n"/>
      <c r="AW3" s="43" t="n"/>
      <c r="AX3" s="44" t="inlineStr">
        <is>
          <t>Dellinger</t>
        </is>
      </c>
      <c r="AY3" s="45" t="n"/>
      <c r="AZ3" s="46" t="n"/>
      <c r="BA3" s="47" t="n"/>
      <c r="BB3" s="14" t="n"/>
      <c r="BC3" s="43" t="n"/>
      <c r="BD3" s="44" t="inlineStr">
        <is>
          <t>derHanseat</t>
        </is>
      </c>
      <c r="BE3" s="45" t="n"/>
      <c r="BF3" s="46" t="n"/>
      <c r="BG3" s="47" t="n"/>
      <c r="BH3" s="14" t="n"/>
      <c r="BI3" s="43" t="n"/>
      <c r="BJ3" s="44" t="inlineStr">
        <is>
          <t>Dr. Rock</t>
        </is>
      </c>
      <c r="BK3" s="45" t="n"/>
      <c r="BL3" s="46" t="n"/>
      <c r="BM3" s="47" t="n"/>
      <c r="BN3" s="14" t="n"/>
      <c r="BO3" s="43" t="n"/>
      <c r="BP3" s="44" t="inlineStr">
        <is>
          <t>Effe</t>
        </is>
      </c>
      <c r="BQ3" s="45" t="n"/>
      <c r="BR3" s="46" t="n"/>
      <c r="BS3" s="47" t="n"/>
      <c r="BT3" s="14" t="n"/>
      <c r="BU3" s="43" t="n"/>
      <c r="BV3" s="44" t="inlineStr">
        <is>
          <t>Ernst</t>
        </is>
      </c>
      <c r="BW3" s="88" t="n"/>
      <c r="BX3" s="46" t="n"/>
      <c r="BY3" s="47" t="n"/>
      <c r="BZ3" s="14" t="n"/>
      <c r="CA3" s="43" t="n"/>
      <c r="CB3" s="44" t="inlineStr">
        <is>
          <t>Fips</t>
        </is>
      </c>
      <c r="CC3" s="45" t="n"/>
      <c r="CD3" s="46" t="n"/>
      <c r="CE3" s="47" t="n"/>
      <c r="CF3" s="14" t="n"/>
      <c r="CG3" s="43" t="n"/>
      <c r="CH3" s="44" t="inlineStr">
        <is>
          <t>Flipp</t>
        </is>
      </c>
      <c r="CI3" s="45" t="n"/>
      <c r="CJ3" s="46" t="n"/>
      <c r="CK3" s="47" t="n"/>
      <c r="CL3" s="14" t="n"/>
      <c r="CM3" s="43" t="n"/>
      <c r="CN3" s="44" t="inlineStr">
        <is>
          <t>Focker</t>
        </is>
      </c>
      <c r="CO3" s="45" t="n"/>
      <c r="CP3" s="46" t="n"/>
      <c r="CQ3" s="47" t="n"/>
      <c r="CR3" s="14" t="n"/>
      <c r="CS3" s="43" t="n"/>
      <c r="CT3" s="44" t="inlineStr">
        <is>
          <t>Gazelle</t>
        </is>
      </c>
      <c r="CU3" s="45" t="n"/>
      <c r="CV3" s="46" t="n"/>
      <c r="CW3" s="47" t="n"/>
      <c r="CX3" s="14" t="n"/>
      <c r="CY3" s="43" t="n"/>
      <c r="CZ3" s="44" t="inlineStr">
        <is>
          <t>Highländer</t>
        </is>
      </c>
      <c r="DA3" s="45" t="n"/>
      <c r="DB3" s="46" t="n"/>
      <c r="DC3" s="47" t="n"/>
      <c r="DD3" s="14" t="n"/>
      <c r="DE3" s="43" t="n"/>
      <c r="DF3" s="44" t="inlineStr">
        <is>
          <t>Hoeness</t>
        </is>
      </c>
      <c r="DG3" s="45" t="n"/>
      <c r="DH3" s="46" t="n"/>
      <c r="DI3" s="47" t="n"/>
      <c r="DJ3" s="14" t="n"/>
      <c r="DK3" s="43" t="n"/>
      <c r="DL3" s="44" t="inlineStr">
        <is>
          <t>Jay-Jay</t>
        </is>
      </c>
      <c r="DM3" s="45" t="n"/>
      <c r="DN3" s="46" t="n"/>
      <c r="DO3" s="47" t="n"/>
      <c r="DP3" s="14" t="n"/>
      <c r="DQ3" s="43" t="n"/>
      <c r="DR3" s="44" t="inlineStr">
        <is>
          <t>Jukkel</t>
        </is>
      </c>
      <c r="DS3" s="45" t="n"/>
      <c r="DT3" s="46" t="n"/>
      <c r="DU3" s="47" t="n"/>
      <c r="DV3" s="14" t="n"/>
      <c r="DW3" s="43" t="n"/>
      <c r="DX3" s="44" t="inlineStr">
        <is>
          <t>kl.Schalke</t>
        </is>
      </c>
      <c r="DY3" s="45" t="n"/>
      <c r="DZ3" s="46" t="n"/>
      <c r="EA3" s="47" t="n"/>
      <c r="EB3" s="14" t="n"/>
      <c r="EC3" s="43" t="n"/>
      <c r="ED3" s="44" t="inlineStr">
        <is>
          <t>Marilyn</t>
        </is>
      </c>
      <c r="EE3" s="45" t="n"/>
      <c r="EF3" s="46" t="n"/>
      <c r="EG3" s="47" t="n"/>
      <c r="EH3" s="14" t="n"/>
      <c r="EI3" s="43" t="n"/>
      <c r="EJ3" s="44" t="inlineStr">
        <is>
          <t>Mazinho</t>
        </is>
      </c>
      <c r="EK3" s="45" t="n"/>
      <c r="EL3" s="46" t="n"/>
      <c r="EM3" s="47" t="n"/>
      <c r="EN3" s="14" t="n"/>
      <c r="EO3" s="43" t="n"/>
      <c r="EP3" s="44" t="inlineStr">
        <is>
          <t>Parzival</t>
        </is>
      </c>
      <c r="EQ3" s="45" t="n"/>
      <c r="ER3" s="46" t="n"/>
      <c r="ES3" s="47" t="n"/>
      <c r="ET3" s="14" t="n"/>
      <c r="EU3" s="43" t="n"/>
      <c r="EV3" s="44" t="inlineStr">
        <is>
          <t>Rammway</t>
        </is>
      </c>
      <c r="EW3" s="45" t="n"/>
      <c r="EX3" s="46" t="n"/>
      <c r="EY3" s="47" t="n"/>
      <c r="EZ3" s="14" t="n"/>
      <c r="FA3" s="43" t="n"/>
      <c r="FB3" s="44" t="inlineStr">
        <is>
          <t>Richy</t>
        </is>
      </c>
      <c r="FC3" s="45" t="n"/>
      <c r="FD3" s="46" t="n"/>
      <c r="FE3" s="47" t="n"/>
      <c r="FF3" s="14" t="n"/>
      <c r="FG3" s="43" t="n"/>
      <c r="FH3" s="44" t="inlineStr">
        <is>
          <t>Romax</t>
        </is>
      </c>
      <c r="FI3" s="45" t="n"/>
      <c r="FJ3" s="46" t="n"/>
      <c r="FK3" s="47" t="n"/>
      <c r="FL3" s="14" t="n"/>
      <c r="FM3" s="43" t="n"/>
      <c r="FN3" s="44" t="inlineStr">
        <is>
          <t>Rörup</t>
        </is>
      </c>
      <c r="FO3" s="45" t="n"/>
      <c r="FP3" s="46" t="n"/>
      <c r="FQ3" s="47" t="n"/>
      <c r="FR3" s="14" t="n"/>
      <c r="FS3" s="43" t="n"/>
      <c r="FT3" s="44" t="inlineStr">
        <is>
          <t>Snake</t>
        </is>
      </c>
      <c r="FU3" s="45" t="n"/>
      <c r="FV3" s="46" t="n"/>
      <c r="FW3" s="47" t="n"/>
      <c r="FX3" s="14" t="n"/>
      <c r="FY3" s="43" t="n"/>
      <c r="FZ3" s="44" t="inlineStr">
        <is>
          <t>Underduck</t>
        </is>
      </c>
      <c r="GA3" s="45" t="n"/>
      <c r="GB3" s="46" t="n"/>
      <c r="GC3" s="47" t="n"/>
      <c r="GD3" s="14" t="n"/>
      <c r="GE3" s="43" t="n"/>
      <c r="GF3" s="44" t="inlineStr">
        <is>
          <t>Willi60</t>
        </is>
      </c>
      <c r="GG3" s="45" t="n"/>
      <c r="GH3" s="46" t="n"/>
      <c r="GI3" s="47" t="n"/>
      <c r="GJ3" s="14" t="n"/>
      <c r="GK3" s="43" t="n"/>
      <c r="GL3" s="44" t="inlineStr">
        <is>
          <t>Yeti</t>
        </is>
      </c>
      <c r="GM3" s="45" t="n"/>
      <c r="GN3" s="46" t="n"/>
      <c r="GO3" s="47" t="n"/>
      <c r="GP3" s="14" t="n"/>
      <c r="GQ3" s="43" t="n"/>
      <c r="GR3" s="44" t="inlineStr">
        <is>
          <t>Yves</t>
        </is>
      </c>
      <c r="GS3" s="45" t="n"/>
      <c r="GT3" s="46" t="n"/>
      <c r="GU3" s="47" t="n"/>
      <c r="GV3" s="14" t="n"/>
    </row>
    <row r="4" ht="20.25" customHeight="1">
      <c r="B4" s="92" t="n"/>
      <c r="D4" s="67" t="n"/>
      <c r="M4" s="32" t="n"/>
      <c r="N4" s="32" t="n"/>
      <c r="O4" s="32" t="n"/>
      <c r="P4" s="33" t="n"/>
      <c r="Q4" s="33" t="n"/>
      <c r="S4" s="36" t="n"/>
      <c r="T4" s="36" t="n"/>
      <c r="U4" s="36" t="n"/>
      <c r="V4" s="34" t="n"/>
      <c r="W4" s="34" t="n"/>
      <c r="Y4" s="36" t="n"/>
      <c r="Z4" s="36" t="n"/>
      <c r="AA4" s="36" t="n"/>
      <c r="AB4" s="34" t="n"/>
      <c r="AC4" s="34" t="n"/>
      <c r="AE4" s="36" t="n"/>
      <c r="AF4" s="36" t="n"/>
      <c r="AG4" s="36" t="n"/>
      <c r="AH4" s="34" t="n"/>
      <c r="AI4" s="34" t="n"/>
      <c r="AK4" s="36" t="n"/>
      <c r="AL4" s="36" t="n"/>
      <c r="AM4" s="36" t="n"/>
      <c r="AN4" s="34" t="n"/>
      <c r="AO4" s="34" t="n"/>
      <c r="AQ4" s="36" t="n"/>
      <c r="AR4" s="36" t="n"/>
      <c r="AS4" s="36" t="n"/>
      <c r="AT4" s="34" t="n"/>
      <c r="AU4" s="34" t="n"/>
      <c r="AW4" s="36" t="n"/>
      <c r="AX4" s="36" t="n"/>
      <c r="AY4" s="36" t="n"/>
      <c r="AZ4" s="34" t="n"/>
      <c r="BA4" s="34" t="n"/>
      <c r="BC4" s="36" t="n"/>
      <c r="BD4" s="36" t="n"/>
      <c r="BE4" s="36" t="n"/>
      <c r="BF4" s="34" t="n"/>
      <c r="BG4" s="34" t="n"/>
      <c r="BI4" s="36" t="n"/>
      <c r="BJ4" s="36" t="n"/>
      <c r="BK4" s="36" t="n"/>
      <c r="BL4" s="34" t="n"/>
      <c r="BM4" s="34" t="n"/>
      <c r="BO4" s="36" t="n"/>
      <c r="BP4" s="36" t="n"/>
      <c r="BQ4" s="36" t="n"/>
      <c r="BR4" s="34" t="n"/>
      <c r="BS4" s="34" t="n"/>
      <c r="BU4" s="36" t="n"/>
      <c r="BV4" s="36" t="n"/>
      <c r="BW4" s="36" t="n"/>
      <c r="BX4" s="34" t="n"/>
      <c r="BY4" s="34" t="n"/>
      <c r="CA4" s="36" t="n"/>
      <c r="CB4" s="36" t="n"/>
      <c r="CC4" s="36" t="n"/>
      <c r="CD4" s="34" t="n"/>
      <c r="CE4" s="34" t="n"/>
      <c r="CG4" s="36" t="n"/>
      <c r="CH4" s="36" t="n"/>
      <c r="CI4" s="36" t="n"/>
      <c r="CJ4" s="34" t="n"/>
      <c r="CK4" s="34" t="n"/>
      <c r="CM4" s="36" t="n"/>
      <c r="CN4" s="36" t="n"/>
      <c r="CO4" s="36" t="n"/>
      <c r="CP4" s="34" t="n"/>
      <c r="CQ4" s="34" t="n"/>
      <c r="CS4" s="36" t="n"/>
      <c r="CT4" s="36" t="n"/>
      <c r="CU4" s="36" t="n"/>
      <c r="CV4" s="34" t="n"/>
      <c r="CW4" s="34" t="n"/>
      <c r="CY4" s="36" t="n"/>
      <c r="CZ4" s="36" t="n"/>
      <c r="DA4" s="36" t="n"/>
      <c r="DB4" s="34" t="n"/>
      <c r="DC4" s="34" t="n"/>
      <c r="DE4" s="36" t="n"/>
      <c r="DF4" s="36" t="n"/>
      <c r="DG4" s="36" t="n"/>
      <c r="DH4" s="34" t="n"/>
      <c r="DI4" s="34" t="n"/>
      <c r="DK4" s="36" t="n"/>
      <c r="DL4" s="36" t="n"/>
      <c r="DM4" s="36" t="n"/>
      <c r="DN4" s="34" t="n"/>
      <c r="DO4" s="34" t="n"/>
      <c r="DQ4" s="36" t="n"/>
      <c r="DR4" s="36" t="n"/>
      <c r="DS4" s="36" t="n"/>
      <c r="DT4" s="34" t="n"/>
      <c r="DU4" s="34" t="n"/>
      <c r="DW4" s="36" t="n"/>
      <c r="DX4" s="36" t="n"/>
      <c r="DY4" s="36" t="n"/>
      <c r="DZ4" s="34" t="n"/>
      <c r="EA4" s="34" t="n"/>
      <c r="EC4" s="36" t="n"/>
      <c r="ED4" s="36" t="n"/>
      <c r="EE4" s="36" t="n"/>
      <c r="EF4" s="34" t="n"/>
      <c r="EG4" s="34" t="n"/>
      <c r="EI4" s="36" t="n"/>
      <c r="EJ4" s="36" t="n"/>
      <c r="EK4" s="36" t="n"/>
      <c r="EL4" s="34" t="n"/>
      <c r="EM4" s="34" t="n"/>
      <c r="EO4" s="36" t="n"/>
      <c r="EP4" s="36" t="n"/>
      <c r="EQ4" s="36" t="n"/>
      <c r="ER4" s="34" t="n"/>
      <c r="ES4" s="34" t="n"/>
      <c r="EU4" s="36" t="n"/>
      <c r="EV4" s="36" t="n"/>
      <c r="EW4" s="36" t="n"/>
      <c r="EX4" s="34" t="n"/>
      <c r="EY4" s="34" t="n"/>
      <c r="FA4" s="36" t="n"/>
      <c r="FB4" s="36" t="n"/>
      <c r="FC4" s="36" t="n"/>
      <c r="FD4" s="34" t="n"/>
      <c r="FE4" s="34" t="n"/>
      <c r="FG4" s="36" t="n"/>
      <c r="FH4" s="36" t="n"/>
      <c r="FI4" s="36" t="n"/>
      <c r="FJ4" s="34" t="n"/>
      <c r="FK4" s="34" t="n"/>
      <c r="FM4" s="36" t="n"/>
      <c r="FN4" s="36" t="n"/>
      <c r="FO4" s="36" t="n"/>
      <c r="FP4" s="34" t="n"/>
      <c r="FQ4" s="34" t="n"/>
      <c r="FS4" s="36" t="n"/>
      <c r="FT4" s="36" t="n"/>
      <c r="FU4" s="36" t="n"/>
      <c r="FV4" s="34" t="n"/>
      <c r="FW4" s="34" t="n"/>
      <c r="FY4" s="36" t="n"/>
      <c r="FZ4" s="36" t="n"/>
      <c r="GA4" s="36" t="n"/>
      <c r="GB4" s="34" t="n"/>
      <c r="GC4" s="34" t="n"/>
      <c r="GE4" s="36" t="n"/>
      <c r="GF4" s="36" t="n"/>
      <c r="GG4" s="36" t="n"/>
      <c r="GH4" s="34" t="n"/>
      <c r="GI4" s="34" t="n"/>
      <c r="GK4" s="36" t="n"/>
      <c r="GL4" s="36" t="n"/>
      <c r="GM4" s="36" t="n"/>
      <c r="GN4" s="34" t="n"/>
      <c r="GO4" s="34" t="n"/>
      <c r="GQ4" s="36" t="n"/>
      <c r="GR4" s="36" t="n"/>
      <c r="GS4" s="36" t="n"/>
      <c r="GT4" s="34" t="n"/>
      <c r="GU4" s="34" t="n"/>
    </row>
    <row r="5" ht="15.75" customHeight="1">
      <c r="B5" s="68" t="inlineStr">
        <is>
          <t>1. Liga</t>
        </is>
      </c>
      <c r="C5" s="46" t="n"/>
      <c r="D5" s="69" t="inlineStr">
        <is>
          <t>34. Spieltag</t>
        </is>
      </c>
      <c r="E5" s="51" t="inlineStr">
        <is>
          <t>Ergeb.</t>
        </is>
      </c>
      <c r="F5" s="52" t="n"/>
      <c r="G5" s="53" t="n"/>
      <c r="H5" s="4" t="n"/>
      <c r="I5" s="48" t="inlineStr">
        <is>
          <t>3er</t>
        </is>
      </c>
      <c r="J5" s="48" t="inlineStr">
        <is>
          <t>2er</t>
        </is>
      </c>
      <c r="K5" s="48" t="inlineStr">
        <is>
          <t>1er</t>
        </is>
      </c>
      <c r="M5" s="15" t="inlineStr">
        <is>
          <t>Tipp</t>
        </is>
      </c>
      <c r="N5" s="15" t="n"/>
      <c r="O5" s="15" t="n"/>
      <c r="P5" s="16" t="inlineStr">
        <is>
          <t>Pkt.</t>
        </is>
      </c>
      <c r="Q5" s="33" t="n"/>
      <c r="S5" s="15" t="inlineStr">
        <is>
          <t>Tipp</t>
        </is>
      </c>
      <c r="T5" s="15" t="n"/>
      <c r="U5" s="15" t="n"/>
      <c r="V5" s="16" t="inlineStr">
        <is>
          <t>Pkt.</t>
        </is>
      </c>
      <c r="W5" s="34" t="n"/>
      <c r="Y5" s="15" t="inlineStr">
        <is>
          <t>Tipp</t>
        </is>
      </c>
      <c r="Z5" s="15" t="n"/>
      <c r="AA5" s="15" t="n"/>
      <c r="AB5" s="16" t="inlineStr">
        <is>
          <t>Pkt.</t>
        </is>
      </c>
      <c r="AC5" s="34" t="n"/>
      <c r="AE5" s="15" t="inlineStr">
        <is>
          <t>Tipp</t>
        </is>
      </c>
      <c r="AF5" s="15" t="n"/>
      <c r="AG5" s="15" t="n"/>
      <c r="AH5" s="16" t="inlineStr">
        <is>
          <t>Pkt.</t>
        </is>
      </c>
      <c r="AI5" s="34" t="n"/>
      <c r="AK5" s="15" t="inlineStr">
        <is>
          <t>Tipp</t>
        </is>
      </c>
      <c r="AL5" s="15" t="n"/>
      <c r="AM5" s="15" t="n"/>
      <c r="AN5" s="16" t="inlineStr">
        <is>
          <t>Pkt.</t>
        </is>
      </c>
      <c r="AO5" s="34" t="n"/>
      <c r="AQ5" s="15" t="inlineStr">
        <is>
          <t>Tipp</t>
        </is>
      </c>
      <c r="AR5" s="15" t="n"/>
      <c r="AS5" s="15" t="n"/>
      <c r="AT5" s="16" t="inlineStr">
        <is>
          <t>Pkt.</t>
        </is>
      </c>
      <c r="AU5" s="34" t="n"/>
      <c r="AW5" s="15" t="inlineStr">
        <is>
          <t>Tipp</t>
        </is>
      </c>
      <c r="AX5" s="15" t="n"/>
      <c r="AY5" s="15" t="n"/>
      <c r="AZ5" s="16" t="inlineStr">
        <is>
          <t>Pkt.</t>
        </is>
      </c>
      <c r="BA5" s="34" t="n"/>
      <c r="BC5" s="15" t="inlineStr">
        <is>
          <t>Tipp</t>
        </is>
      </c>
      <c r="BD5" s="15" t="n"/>
      <c r="BE5" s="15" t="n"/>
      <c r="BF5" s="16" t="inlineStr">
        <is>
          <t>Pkt.</t>
        </is>
      </c>
      <c r="BG5" s="34" t="n"/>
      <c r="BI5" s="15" t="inlineStr">
        <is>
          <t>Tipp</t>
        </is>
      </c>
      <c r="BJ5" s="15" t="n"/>
      <c r="BK5" s="15" t="n"/>
      <c r="BL5" s="16" t="inlineStr">
        <is>
          <t>Pkt.</t>
        </is>
      </c>
      <c r="BM5" s="34" t="n"/>
      <c r="BO5" s="15" t="inlineStr">
        <is>
          <t>Tipp</t>
        </is>
      </c>
      <c r="BP5" s="15" t="n"/>
      <c r="BQ5" s="15" t="n"/>
      <c r="BR5" s="16" t="inlineStr">
        <is>
          <t>Pkt.</t>
        </is>
      </c>
      <c r="BS5" s="34" t="n"/>
      <c r="BU5" s="15" t="inlineStr">
        <is>
          <t>Tipp</t>
        </is>
      </c>
      <c r="BV5" s="15" t="n"/>
      <c r="BW5" s="15" t="n"/>
      <c r="BX5" s="16" t="inlineStr">
        <is>
          <t>Pkt.</t>
        </is>
      </c>
      <c r="BY5" s="34" t="n"/>
      <c r="CA5" s="15" t="inlineStr">
        <is>
          <t>Tipp</t>
        </is>
      </c>
      <c r="CB5" s="15" t="n"/>
      <c r="CC5" s="15" t="n"/>
      <c r="CD5" s="16" t="inlineStr">
        <is>
          <t>Pkt.</t>
        </is>
      </c>
      <c r="CE5" s="34" t="n"/>
      <c r="CG5" s="15" t="inlineStr">
        <is>
          <t>Tipp</t>
        </is>
      </c>
      <c r="CH5" s="15" t="n"/>
      <c r="CI5" s="15" t="n"/>
      <c r="CJ5" s="16" t="inlineStr">
        <is>
          <t>Pkt.</t>
        </is>
      </c>
      <c r="CK5" s="34" t="n"/>
      <c r="CM5" s="15" t="inlineStr">
        <is>
          <t>Tipp</t>
        </is>
      </c>
      <c r="CN5" s="15" t="n"/>
      <c r="CO5" s="15" t="n"/>
      <c r="CP5" s="16" t="inlineStr">
        <is>
          <t>Pkt.</t>
        </is>
      </c>
      <c r="CQ5" s="34" t="n"/>
      <c r="CS5" s="15" t="inlineStr">
        <is>
          <t>Tipp</t>
        </is>
      </c>
      <c r="CT5" s="15" t="n"/>
      <c r="CU5" s="15" t="n"/>
      <c r="CV5" s="16" t="inlineStr">
        <is>
          <t>Pkt.</t>
        </is>
      </c>
      <c r="CW5" s="34" t="n"/>
      <c r="CY5" s="15" t="inlineStr">
        <is>
          <t>Tipp</t>
        </is>
      </c>
      <c r="CZ5" s="15" t="n"/>
      <c r="DA5" s="15" t="n"/>
      <c r="DB5" s="16" t="inlineStr">
        <is>
          <t>Pkt.</t>
        </is>
      </c>
      <c r="DC5" s="34" t="n"/>
      <c r="DE5" s="15" t="inlineStr">
        <is>
          <t>Tipp</t>
        </is>
      </c>
      <c r="DF5" s="15" t="n"/>
      <c r="DG5" s="15" t="n"/>
      <c r="DH5" s="16" t="inlineStr">
        <is>
          <t>Pkt.</t>
        </is>
      </c>
      <c r="DI5" s="34" t="n"/>
      <c r="DK5" s="15" t="inlineStr">
        <is>
          <t>Tipp</t>
        </is>
      </c>
      <c r="DL5" s="15" t="n"/>
      <c r="DM5" s="15" t="n"/>
      <c r="DN5" s="16" t="inlineStr">
        <is>
          <t>Pkt.</t>
        </is>
      </c>
      <c r="DO5" s="34" t="n"/>
      <c r="DQ5" s="15" t="inlineStr">
        <is>
          <t>Tipp</t>
        </is>
      </c>
      <c r="DR5" s="15" t="n"/>
      <c r="DS5" s="15" t="n"/>
      <c r="DT5" s="16" t="inlineStr">
        <is>
          <t>Pkt.</t>
        </is>
      </c>
      <c r="DU5" s="34" t="n"/>
      <c r="DW5" s="15" t="inlineStr">
        <is>
          <t>Tipp</t>
        </is>
      </c>
      <c r="DX5" s="15" t="n"/>
      <c r="DY5" s="15" t="n"/>
      <c r="DZ5" s="16" t="inlineStr">
        <is>
          <t>Pkt.</t>
        </is>
      </c>
      <c r="EA5" s="34" t="n"/>
      <c r="EC5" s="15" t="inlineStr">
        <is>
          <t>Tipp</t>
        </is>
      </c>
      <c r="ED5" s="15" t="n"/>
      <c r="EE5" s="15" t="n"/>
      <c r="EF5" s="16" t="inlineStr">
        <is>
          <t>Pkt.</t>
        </is>
      </c>
      <c r="EG5" s="34" t="n"/>
      <c r="EI5" s="15" t="inlineStr">
        <is>
          <t>Tipp</t>
        </is>
      </c>
      <c r="EJ5" s="15" t="n"/>
      <c r="EK5" s="15" t="n"/>
      <c r="EL5" s="16" t="inlineStr">
        <is>
          <t>Pkt.</t>
        </is>
      </c>
      <c r="EM5" s="34" t="n"/>
      <c r="EO5" s="15" t="inlineStr">
        <is>
          <t>Tipp</t>
        </is>
      </c>
      <c r="EP5" s="15" t="n"/>
      <c r="EQ5" s="15" t="n"/>
      <c r="ER5" s="16" t="inlineStr">
        <is>
          <t>Pkt.</t>
        </is>
      </c>
      <c r="ES5" s="34" t="n"/>
      <c r="EU5" s="15" t="inlineStr">
        <is>
          <t>Tipp</t>
        </is>
      </c>
      <c r="EV5" s="15" t="n"/>
      <c r="EW5" s="15" t="n"/>
      <c r="EX5" s="16" t="inlineStr">
        <is>
          <t>Pkt.</t>
        </is>
      </c>
      <c r="EY5" s="34" t="n"/>
      <c r="FA5" s="15" t="inlineStr">
        <is>
          <t>Tipp</t>
        </is>
      </c>
      <c r="FB5" s="15" t="n"/>
      <c r="FC5" s="15" t="n"/>
      <c r="FD5" s="16" t="inlineStr">
        <is>
          <t>Pkt.</t>
        </is>
      </c>
      <c r="FE5" s="34" t="n"/>
      <c r="FG5" s="15" t="inlineStr">
        <is>
          <t>Tipp</t>
        </is>
      </c>
      <c r="FH5" s="15" t="n"/>
      <c r="FI5" s="15" t="n"/>
      <c r="FJ5" s="16" t="inlineStr">
        <is>
          <t>Pkt.</t>
        </is>
      </c>
      <c r="FK5" s="34" t="n"/>
      <c r="FM5" s="15" t="inlineStr">
        <is>
          <t>Tipp</t>
        </is>
      </c>
      <c r="FN5" s="15" t="n"/>
      <c r="FO5" s="15" t="n"/>
      <c r="FP5" s="16" t="inlineStr">
        <is>
          <t>Pkt.</t>
        </is>
      </c>
      <c r="FQ5" s="34" t="n"/>
      <c r="FS5" s="15" t="inlineStr">
        <is>
          <t>Tipp</t>
        </is>
      </c>
      <c r="FT5" s="15" t="n"/>
      <c r="FU5" s="15" t="n"/>
      <c r="FV5" s="16" t="inlineStr">
        <is>
          <t>Pkt.</t>
        </is>
      </c>
      <c r="FW5" s="34" t="n"/>
      <c r="FY5" s="15" t="inlineStr">
        <is>
          <t>Tipp</t>
        </is>
      </c>
      <c r="FZ5" s="15" t="n"/>
      <c r="GA5" s="15" t="n"/>
      <c r="GB5" s="16" t="inlineStr">
        <is>
          <t>Pkt.</t>
        </is>
      </c>
      <c r="GC5" s="34" t="n"/>
      <c r="GE5" s="15" t="inlineStr">
        <is>
          <t>Tipp</t>
        </is>
      </c>
      <c r="GF5" s="15" t="n"/>
      <c r="GG5" s="15" t="n"/>
      <c r="GH5" s="16" t="inlineStr">
        <is>
          <t>Pkt.</t>
        </is>
      </c>
      <c r="GI5" s="34" t="n"/>
      <c r="GK5" s="15" t="inlineStr">
        <is>
          <t>Tipp</t>
        </is>
      </c>
      <c r="GL5" s="15" t="n"/>
      <c r="GM5" s="15" t="n"/>
      <c r="GN5" s="16" t="inlineStr">
        <is>
          <t>Pkt.</t>
        </is>
      </c>
      <c r="GO5" s="34" t="n"/>
      <c r="GQ5" s="15" t="inlineStr">
        <is>
          <t>Tipp</t>
        </is>
      </c>
      <c r="GR5" s="15" t="n"/>
      <c r="GS5" s="15" t="n"/>
      <c r="GT5" s="16" t="inlineStr">
        <is>
          <t>Pkt.</t>
        </is>
      </c>
      <c r="GU5" s="34" t="n"/>
    </row>
    <row r="6" ht="18" customHeight="1">
      <c r="A6" s="62" t="n"/>
      <c r="B6" s="77" t="n"/>
      <c r="C6" s="78" t="inlineStr">
        <is>
          <t>:</t>
        </is>
      </c>
      <c r="D6" s="79" t="n"/>
      <c r="E6" s="54" t="n"/>
      <c r="F6" s="55" t="inlineStr">
        <is>
          <t>:</t>
        </is>
      </c>
      <c r="G6" s="55" t="n"/>
      <c r="I6" s="49">
        <f>COUNTIF(P6,3)+COUNTIF(V6,3)+COUNTIF(AB6,3)+COUNTIF(AH6,3)+COUNTIF(AN6,3)+COUNTIF(AT6,3)+COUNTIF(AZ6,3)+COUNTIF(BF6,3)+COUNTIF(BL6,3)+COUNTIF(BR6,3)+COUNTIF(BX6,3)+COUNTIF(CD6,3)+COUNTIF(CJ6,3)+COUNTIF(CP6,3)+COUNTIF(CV6,3)+COUNTIF(DB6,3)+COUNTIF(DH6,3)+COUNTIF(DN6,3)+COUNTIF(DT6,3)+COUNTIF(DZ6,3)+COUNTIF(EF6,3)+COUNTIF(EL6,3)+COUNTIF(ER6,3)+COUNTIF(EX6,3)+COUNTIF(FD6,3)+COUNTIF(FJ6,3)+COUNTIF(FP6,3)+COUNTIF(FV6,3)+COUNTIF(GB6,3)+COUNTIF(GH6,3)+COUNTIF(GN6,3)+COUNTIF(GT6,3)</f>
        <v/>
      </c>
      <c r="J6" s="49">
        <f>COUNTIF(P6,2)+COUNTIF(V6,2)+COUNTIF(AB6,2)+COUNTIF(AH6,2)+COUNTIF(AN6,2)+COUNTIF(AT6,2)+COUNTIF(AZ6,2)+COUNTIF(BF6,2)+COUNTIF(BL6,2)+COUNTIF(BR6,2)+COUNTIF(BX6,2)+COUNTIF(CD6,2)+COUNTIF(CJ6,2)+COUNTIF(CP6,2)+COUNTIF(CV6,2)+COUNTIF(DB6,2)+COUNTIF(DH6,2)+COUNTIF(DN6,2)+COUNTIF(DT6,2)+COUNTIF(DZ6,2)+COUNTIF(EF6,2)+COUNTIF(EL6,2)+COUNTIF(ER6,2)+COUNTIF(EX6,2)+COUNTIF(FD6,2)+COUNTIF(FJ6,2)+COUNTIF(FP6,2)+COUNTIF(FV6,2)+COUNTIF(GB6,2)+COUNTIF(GH6,2)+COUNTIF(GN6,2)+COUNTIF(GT6,2)</f>
        <v/>
      </c>
      <c r="K6" s="49">
        <f>COUNTIF(P6,1)+COUNTIF(V6,1)+COUNTIF(AB6,1)+COUNTIF(AH6,1)+COUNTIF(AN6,1)+COUNTIF(AT6,1)+COUNTIF(AZ6,1)+COUNTIF(BF6,1)+COUNTIF(BL6,1)+COUNTIF(BR6,1)+COUNTIF(BX6,1)+COUNTIF(CD6,1)+COUNTIF(CJ6,1)+COUNTIF(CP6,1)+COUNTIF(CV6,1)+COUNTIF(DB6,1)+COUNTIF(DH6,1)+COUNTIF(DN6,1)+COUNTIF(DT6,1)+COUNTIF(DZ6,1)+COUNTIF(EF6,1)+COUNTIF(EL6,1)+COUNTIF(ER6,1)+COUNTIF(EX6,1)+COUNTIF(FD6,1)+COUNTIF(FJ6,1)+COUNTIF(FP6,1)+COUNTIF(FV6,1)+COUNTIF(GB6,1)+COUNTIF(GH6,1)+COUNTIF(GN6,1)+COUNTIF(GT6,1)</f>
        <v/>
      </c>
      <c r="L6" s="5" t="n"/>
      <c r="M6" s="58" t="n"/>
      <c r="N6" s="58" t="inlineStr">
        <is>
          <t>:</t>
        </is>
      </c>
      <c r="O6" s="58" t="n"/>
      <c r="P6" s="17">
        <f>IF(ISBLANK($E6),"",(IF(ISBLANK(M6),0,IF((($E6=M6)*($G6=O6))*NOT(ISBLANK($E6)),1,0)+((($E6&gt;$G6)*(M6&gt;O6))+(($E6&lt;$G6)*(M6&lt;O6))+(($E6=$G6)*(M6=O6)))-ISBLANK($E6)*(M6=O6)+(($E6-$G6)=(M6-O6)))))</f>
        <v/>
      </c>
      <c r="Q6" s="35" t="n"/>
      <c r="R6" s="5" t="n"/>
      <c r="S6" s="58" t="n"/>
      <c r="T6" s="58" t="inlineStr">
        <is>
          <t>:</t>
        </is>
      </c>
      <c r="U6" s="58" t="n"/>
      <c r="V6" s="17">
        <f>IF(ISBLANK($E6),"",(IF(ISBLANK(S6),0,IF((($E6=S6)*($G6=U6))*NOT(ISBLANK($E6)),1,0)+((($E6&gt;$G6)*(S6&gt;U6))+(($E6&lt;$G6)*(S6&lt;U6))+(($E6=$G6)*(S6=U6)))-ISBLANK($E6)*(S6=U6)+(($E6-$G6)=(S6-U6)))))</f>
        <v/>
      </c>
      <c r="W6" s="37" t="n"/>
      <c r="X6" s="5" t="n"/>
      <c r="Y6" s="58" t="n"/>
      <c r="Z6" s="58" t="inlineStr">
        <is>
          <t>:</t>
        </is>
      </c>
      <c r="AA6" s="58" t="n"/>
      <c r="AB6" s="17">
        <f>IF(ISBLANK($E6),"",(IF(ISBLANK(Y6),0,IF((($E6=Y6)*($G6=AA6))*NOT(ISBLANK($E6)),1,0)+((($E6&gt;$G6)*(Y6&gt;AA6))+(($E6&lt;$G6)*(Y6&lt;AA6))+(($E6=$G6)*(Y6=AA6)))-ISBLANK($E6)*(Y6=AA6)+(($E6-$G6)=(Y6-AA6)))))</f>
        <v/>
      </c>
      <c r="AC6" s="37" t="n"/>
      <c r="AD6" s="5" t="n"/>
      <c r="AE6" s="58" t="n"/>
      <c r="AF6" s="58" t="inlineStr">
        <is>
          <t>:</t>
        </is>
      </c>
      <c r="AG6" s="58" t="n"/>
      <c r="AH6" s="17">
        <f>IF(ISBLANK($E6),"",(IF(ISBLANK(AE6),0,IF((($E6=AE6)*($G6=AG6))*NOT(ISBLANK($E6)),1,0)+((($E6&gt;$G6)*(AE6&gt;AG6))+(($E6&lt;$G6)*(AE6&lt;AG6))+(($E6=$G6)*(AE6=AG6)))-ISBLANK($E6)*(AE6=AG6)+(($E6-$G6)=(AE6-AG6)))))</f>
        <v/>
      </c>
      <c r="AI6" s="37" t="n"/>
      <c r="AJ6" s="5" t="n"/>
      <c r="AK6" s="58" t="n"/>
      <c r="AL6" s="58" t="inlineStr">
        <is>
          <t>:</t>
        </is>
      </c>
      <c r="AM6" s="58" t="n"/>
      <c r="AN6" s="17">
        <f>IF(ISBLANK($E6),"",(IF(ISBLANK(AK6),0,IF((($E6=AK6)*($G6=AM6))*NOT(ISBLANK($E6)),1,0)+((($E6&gt;$G6)*(AK6&gt;AM6))+(($E6&lt;$G6)*(AK6&lt;AM6))+(($E6=$G6)*(AK6=AM6)))-ISBLANK($E6)*(AK6=AM6)+(($E6-$G6)=(AK6-AM6)))))</f>
        <v/>
      </c>
      <c r="AO6" s="37" t="n"/>
      <c r="AP6" s="5" t="n"/>
      <c r="AQ6" s="58" t="n"/>
      <c r="AR6" s="58" t="inlineStr">
        <is>
          <t>:</t>
        </is>
      </c>
      <c r="AS6" s="58" t="n"/>
      <c r="AT6" s="17">
        <f>IF(ISBLANK($E6),"",(IF(ISBLANK(AQ6),0,IF((($E6=AQ6)*($G6=AS6))*NOT(ISBLANK($E6)),1,0)+((($E6&gt;$G6)*(AQ6&gt;AS6))+(($E6&lt;$G6)*(AQ6&lt;AS6))+(($E6=$G6)*(AQ6=AS6)))-ISBLANK($E6)*(AQ6=AS6)+(($E6-$G6)=(AQ6-AS6)))))</f>
        <v/>
      </c>
      <c r="AU6" s="37" t="n"/>
      <c r="AV6" s="5" t="n"/>
      <c r="AW6" s="58" t="n"/>
      <c r="AX6" s="58" t="inlineStr">
        <is>
          <t>:</t>
        </is>
      </c>
      <c r="AY6" s="58" t="n"/>
      <c r="AZ6" s="17">
        <f>IF(ISBLANK($E6),"",(IF(ISBLANK(AW6),0,IF((($E6=AW6)*($G6=AY6))*NOT(ISBLANK($E6)),1,0)+((($E6&gt;$G6)*(AW6&gt;AY6))+(($E6&lt;$G6)*(AW6&lt;AY6))+(($E6=$G6)*(AW6=AY6)))-ISBLANK($E6)*(AW6=AY6)+(($E6-$G6)=(AW6-AY6)))))</f>
        <v/>
      </c>
      <c r="BA6" s="37" t="n"/>
      <c r="BB6" s="5" t="n"/>
      <c r="BC6" s="58" t="n"/>
      <c r="BD6" s="58" t="inlineStr">
        <is>
          <t>:</t>
        </is>
      </c>
      <c r="BE6" s="58" t="n"/>
      <c r="BF6" s="17">
        <f>IF(ISBLANK($E6),"",(IF(ISBLANK(BC6),0,IF((($E6=BC6)*($G6=BE6))*NOT(ISBLANK($E6)),1,0)+((($E6&gt;$G6)*(BC6&gt;BE6))+(($E6&lt;$G6)*(BC6&lt;BE6))+(($E6=$G6)*(BC6=BE6)))-ISBLANK($E6)*(BC6=BE6)+(($E6-$G6)=(BC6-BE6)))))</f>
        <v/>
      </c>
      <c r="BG6" s="37" t="n"/>
      <c r="BH6" s="5" t="n"/>
      <c r="BI6" s="58" t="n"/>
      <c r="BJ6" s="58" t="inlineStr">
        <is>
          <t>:</t>
        </is>
      </c>
      <c r="BK6" s="58" t="n"/>
      <c r="BL6" s="17">
        <f>IF(ISBLANK($E6),"",(IF(ISBLANK(BI6),0,IF((($E6=BI6)*($G6=BK6))*NOT(ISBLANK($E6)),1,0)+((($E6&gt;$G6)*(BI6&gt;BK6))+(($E6&lt;$G6)*(BI6&lt;BK6))+(($E6=$G6)*(BI6=BK6)))-ISBLANK($E6)*(BI6=BK6)+(($E6-$G6)=(BI6-BK6)))))</f>
        <v/>
      </c>
      <c r="BM6" s="37" t="n"/>
      <c r="BN6" s="5" t="n"/>
      <c r="BO6" s="58" t="n"/>
      <c r="BP6" s="58" t="inlineStr">
        <is>
          <t>:</t>
        </is>
      </c>
      <c r="BQ6" s="58" t="n"/>
      <c r="BR6" s="17">
        <f>IF(ISBLANK($E6),"",(IF(ISBLANK(BO6),0,IF((($E6=BO6)*($G6=BQ6))*NOT(ISBLANK($E6)),1,0)+((($E6&gt;$G6)*(BO6&gt;BQ6))+(($E6&lt;$G6)*(BO6&lt;BQ6))+(($E6=$G6)*(BO6=BQ6)))-ISBLANK($E6)*(BO6=BQ6)+(($E6-$G6)=(BO6-BQ6)))))</f>
        <v/>
      </c>
      <c r="BS6" s="37" t="n"/>
      <c r="BT6" s="5" t="n"/>
      <c r="BU6" s="58" t="n"/>
      <c r="BV6" s="58" t="inlineStr">
        <is>
          <t>:</t>
        </is>
      </c>
      <c r="BW6" s="58" t="n"/>
      <c r="BX6" s="17">
        <f>IF(ISBLANK($E6),"",(IF(ISBLANK(BU6),0,IF((($E6=BU6)*($G6=BW6))*NOT(ISBLANK($E6)),1,0)+((($E6&gt;$G6)*(BU6&gt;BW6))+(($E6&lt;$G6)*(BU6&lt;BW6))+(($E6=$G6)*(BU6=BW6)))-ISBLANK($E6)*(BU6=BW6)+(($E6-$G6)=(BU6-BW6)))))</f>
        <v/>
      </c>
      <c r="BY6" s="37" t="n"/>
      <c r="BZ6" s="5" t="n"/>
      <c r="CA6" s="58" t="n"/>
      <c r="CB6" s="58" t="inlineStr">
        <is>
          <t>:</t>
        </is>
      </c>
      <c r="CC6" s="58" t="n"/>
      <c r="CD6" s="17">
        <f>IF(ISBLANK($E6),"",(IF(ISBLANK(CA6),0,IF((($E6=CA6)*($G6=CC6))*NOT(ISBLANK($E6)),1,0)+((($E6&gt;$G6)*(CA6&gt;CC6))+(($E6&lt;$G6)*(CA6&lt;CC6))+(($E6=$G6)*(CA6=CC6)))-ISBLANK($E6)*(CA6=CC6)+(($E6-$G6)=(CA6-CC6)))))</f>
        <v/>
      </c>
      <c r="CE6" s="37" t="n"/>
      <c r="CF6" s="5" t="n"/>
      <c r="CG6" s="58" t="n"/>
      <c r="CH6" s="58" t="inlineStr">
        <is>
          <t>:</t>
        </is>
      </c>
      <c r="CI6" s="58" t="n"/>
      <c r="CJ6" s="17">
        <f>IF(ISBLANK($E6),"",(IF(ISBLANK(CG6),0,IF((($E6=CG6)*($G6=CI6))*NOT(ISBLANK($E6)),1,0)+((($E6&gt;$G6)*(CG6&gt;CI6))+(($E6&lt;$G6)*(CG6&lt;CI6))+(($E6=$G6)*(CG6=CI6)))-ISBLANK($E6)*(CG6=CI6)+(($E6-$G6)=(CG6-CI6)))))</f>
        <v/>
      </c>
      <c r="CK6" s="37" t="n"/>
      <c r="CL6" s="5" t="n"/>
      <c r="CM6" s="58" t="n"/>
      <c r="CN6" s="58" t="inlineStr">
        <is>
          <t>:</t>
        </is>
      </c>
      <c r="CO6" s="58" t="n"/>
      <c r="CP6" s="17">
        <f>IF(ISBLANK($E6),"",(IF(ISBLANK(CM6),0,IF((($E6=CM6)*($G6=CO6))*NOT(ISBLANK($E6)),1,0)+((($E6&gt;$G6)*(CM6&gt;CO6))+(($E6&lt;$G6)*(CM6&lt;CO6))+(($E6=$G6)*(CM6=CO6)))-ISBLANK($E6)*(CM6=CO6)+(($E6-$G6)=(CM6-CO6)))))</f>
        <v/>
      </c>
      <c r="CQ6" s="37" t="n"/>
      <c r="CR6" s="5" t="n"/>
      <c r="CS6" s="58" t="n"/>
      <c r="CT6" s="58" t="inlineStr">
        <is>
          <t>:</t>
        </is>
      </c>
      <c r="CU6" s="58" t="n"/>
      <c r="CV6" s="17">
        <f>IF(ISBLANK($E6),"",(IF(ISBLANK(CS6),0,IF((($E6=CS6)*($G6=CU6))*NOT(ISBLANK($E6)),1,0)+((($E6&gt;$G6)*(CS6&gt;CU6))+(($E6&lt;$G6)*(CS6&lt;CU6))+(($E6=$G6)*(CS6=CU6)))-ISBLANK($E6)*(CS6=CU6)+(($E6-$G6)=(CS6-CU6)))))</f>
        <v/>
      </c>
      <c r="CW6" s="37" t="n"/>
      <c r="CX6" s="5" t="n"/>
      <c r="CY6" s="58" t="n"/>
      <c r="CZ6" s="58" t="inlineStr">
        <is>
          <t>:</t>
        </is>
      </c>
      <c r="DA6" s="58" t="n"/>
      <c r="DB6" s="17">
        <f>IF(ISBLANK($E6),"",(IF(ISBLANK(CY6),0,IF((($E6=CY6)*($G6=DA6))*NOT(ISBLANK($E6)),1,0)+((($E6&gt;$G6)*(CY6&gt;DA6))+(($E6&lt;$G6)*(CY6&lt;DA6))+(($E6=$G6)*(CY6=DA6)))-ISBLANK($E6)*(CY6=DA6)+(($E6-$G6)=(CY6-DA6)))))</f>
        <v/>
      </c>
      <c r="DC6" s="37" t="n"/>
      <c r="DD6" s="5" t="n"/>
      <c r="DE6" s="58" t="n"/>
      <c r="DF6" s="58" t="inlineStr">
        <is>
          <t>:</t>
        </is>
      </c>
      <c r="DG6" s="58" t="n"/>
      <c r="DH6" s="17">
        <f>IF(ISBLANK($E6),"",(IF(ISBLANK(DE6),0,IF((($E6=DE6)*($G6=DG6))*NOT(ISBLANK($E6)),1,0)+((($E6&gt;$G6)*(DE6&gt;DG6))+(($E6&lt;$G6)*(DE6&lt;DG6))+(($E6=$G6)*(DE6=DG6)))-ISBLANK($E6)*(DE6=DG6)+(($E6-$G6)=(DE6-DG6)))))</f>
        <v/>
      </c>
      <c r="DI6" s="37" t="n"/>
      <c r="DJ6" s="5" t="n"/>
      <c r="DK6" s="58" t="n"/>
      <c r="DL6" s="58" t="inlineStr">
        <is>
          <t>:</t>
        </is>
      </c>
      <c r="DM6" s="58" t="n"/>
      <c r="DN6" s="17">
        <f>IF(ISBLANK($E6),"",(IF(ISBLANK(DK6),0,IF((($E6=DK6)*($G6=DM6))*NOT(ISBLANK($E6)),1,0)+((($E6&gt;$G6)*(DK6&gt;DM6))+(($E6&lt;$G6)*(DK6&lt;DM6))+(($E6=$G6)*(DK6=DM6)))-ISBLANK($E6)*(DK6=DM6)+(($E6-$G6)=(DK6-DM6)))))</f>
        <v/>
      </c>
      <c r="DO6" s="37" t="n"/>
      <c r="DP6" s="5" t="n"/>
      <c r="DQ6" s="58" t="n"/>
      <c r="DR6" s="58" t="inlineStr">
        <is>
          <t>:</t>
        </is>
      </c>
      <c r="DS6" s="58" t="n"/>
      <c r="DT6" s="17">
        <f>IF(ISBLANK($E6),"",(IF(ISBLANK(DQ6),0,IF((($E6=DQ6)*($G6=DS6))*NOT(ISBLANK($E6)),1,0)+((($E6&gt;$G6)*(DQ6&gt;DS6))+(($E6&lt;$G6)*(DQ6&lt;DS6))+(($E6=$G6)*(DQ6=DS6)))-ISBLANK($E6)*(DQ6=DS6)+(($E6-$G6)=(DQ6-DS6)))))</f>
        <v/>
      </c>
      <c r="DU6" s="37" t="n"/>
      <c r="DV6" s="5" t="n"/>
      <c r="DW6" s="58" t="n"/>
      <c r="DX6" s="58" t="inlineStr">
        <is>
          <t>:</t>
        </is>
      </c>
      <c r="DY6" s="58" t="n"/>
      <c r="DZ6" s="17">
        <f>IF(ISBLANK($E6),"",(IF(ISBLANK(DW6),0,IF((($E6=DW6)*($G6=DY6))*NOT(ISBLANK($E6)),1,0)+((($E6&gt;$G6)*(DW6&gt;DY6))+(($E6&lt;$G6)*(DW6&lt;DY6))+(($E6=$G6)*(DW6=DY6)))-ISBLANK($E6)*(DW6=DY6)+(($E6-$G6)=(DW6-DY6)))))</f>
        <v/>
      </c>
      <c r="EA6" s="37" t="n"/>
      <c r="EB6" s="5" t="n"/>
      <c r="EC6" s="58" t="n"/>
      <c r="ED6" s="58" t="inlineStr">
        <is>
          <t>:</t>
        </is>
      </c>
      <c r="EE6" s="58" t="n"/>
      <c r="EF6" s="17">
        <f>IF(ISBLANK($E6),"",(IF(ISBLANK(EC6),0,IF((($E6=EC6)*($G6=EE6))*NOT(ISBLANK($E6)),1,0)+((($E6&gt;$G6)*(EC6&gt;EE6))+(($E6&lt;$G6)*(EC6&lt;EE6))+(($E6=$G6)*(EC6=EE6)))-ISBLANK($E6)*(EC6=EE6)+(($E6-$G6)=(EC6-EE6)))))</f>
        <v/>
      </c>
      <c r="EG6" s="37" t="n"/>
      <c r="EH6" s="5" t="n"/>
      <c r="EI6" s="58" t="n"/>
      <c r="EJ6" s="58" t="inlineStr">
        <is>
          <t>:</t>
        </is>
      </c>
      <c r="EK6" s="58" t="n"/>
      <c r="EL6" s="17">
        <f>IF(ISBLANK($E6),"",(IF(ISBLANK(EI6),0,IF((($E6=EI6)*($G6=EK6))*NOT(ISBLANK($E6)),1,0)+((($E6&gt;$G6)*(EI6&gt;EK6))+(($E6&lt;$G6)*(EI6&lt;EK6))+(($E6=$G6)*(EI6=EK6)))-ISBLANK($E6)*(EI6=EK6)+(($E6-$G6)=(EI6-EK6)))))</f>
        <v/>
      </c>
      <c r="EM6" s="37" t="n"/>
      <c r="EN6" s="5" t="n"/>
      <c r="EO6" s="58" t="n"/>
      <c r="EP6" s="58" t="inlineStr">
        <is>
          <t>:</t>
        </is>
      </c>
      <c r="EQ6" s="58" t="n"/>
      <c r="ER6" s="17">
        <f>IF(ISBLANK($E6),"",(IF(ISBLANK(EO6),0,IF((($E6=EO6)*($G6=EQ6))*NOT(ISBLANK($E6)),1,0)+((($E6&gt;$G6)*(EO6&gt;EQ6))+(($E6&lt;$G6)*(EO6&lt;EQ6))+(($E6=$G6)*(EO6=EQ6)))-ISBLANK($E6)*(EO6=EQ6)+(($E6-$G6)=(EO6-EQ6)))))</f>
        <v/>
      </c>
      <c r="ES6" s="37" t="n"/>
      <c r="ET6" s="5" t="n"/>
      <c r="EU6" s="58" t="n"/>
      <c r="EV6" s="58" t="inlineStr">
        <is>
          <t>:</t>
        </is>
      </c>
      <c r="EW6" s="58" t="n"/>
      <c r="EX6" s="17">
        <f>IF(ISBLANK($E6),"",(IF(ISBLANK(EU6),0,IF((($E6=EU6)*($G6=EW6))*NOT(ISBLANK($E6)),1,0)+((($E6&gt;$G6)*(EU6&gt;EW6))+(($E6&lt;$G6)*(EU6&lt;EW6))+(($E6=$G6)*(EU6=EW6)))-ISBLANK($E6)*(EU6=EW6)+(($E6-$G6)=(EU6-EW6)))))</f>
        <v/>
      </c>
      <c r="EY6" s="37" t="n"/>
      <c r="EZ6" s="5" t="n"/>
      <c r="FA6" s="58" t="n"/>
      <c r="FB6" s="58" t="inlineStr">
        <is>
          <t>:</t>
        </is>
      </c>
      <c r="FC6" s="58" t="n"/>
      <c r="FD6" s="17">
        <f>IF(ISBLANK($E6),"",(IF(ISBLANK(FA6),0,IF((($E6=FA6)*($G6=FC6))*NOT(ISBLANK($E6)),1,0)+((($E6&gt;$G6)*(FA6&gt;FC6))+(($E6&lt;$G6)*(FA6&lt;FC6))+(($E6=$G6)*(FA6=FC6)))-ISBLANK($E6)*(FA6=FC6)+(($E6-$G6)=(FA6-FC6)))))</f>
        <v/>
      </c>
      <c r="FE6" s="37" t="n"/>
      <c r="FF6" s="5" t="n"/>
      <c r="FG6" s="58" t="n"/>
      <c r="FH6" s="58" t="inlineStr">
        <is>
          <t>:</t>
        </is>
      </c>
      <c r="FI6" s="58" t="n"/>
      <c r="FJ6" s="17">
        <f>IF(ISBLANK($E6),"",(IF(ISBLANK(FG6),0,IF((($E6=FG6)*($G6=FI6))*NOT(ISBLANK($E6)),1,0)+((($E6&gt;$G6)*(FG6&gt;FI6))+(($E6&lt;$G6)*(FG6&lt;FI6))+(($E6=$G6)*(FG6=FI6)))-ISBLANK($E6)*(FG6=FI6)+(($E6-$G6)=(FG6-FI6)))))</f>
        <v/>
      </c>
      <c r="FK6" s="37" t="n"/>
      <c r="FL6" s="5" t="n"/>
      <c r="FM6" s="58" t="n"/>
      <c r="FN6" s="58" t="inlineStr">
        <is>
          <t>:</t>
        </is>
      </c>
      <c r="FO6" s="58" t="n"/>
      <c r="FP6" s="17">
        <f>IF(ISBLANK($E6),"",(IF(ISBLANK(FM6),0,IF((($E6=FM6)*($G6=FO6))*NOT(ISBLANK($E6)),1,0)+((($E6&gt;$G6)*(FM6&gt;FO6))+(($E6&lt;$G6)*(FM6&lt;FO6))+(($E6=$G6)*(FM6=FO6)))-ISBLANK($E6)*(FM6=FO6)+(($E6-$G6)=(FM6-FO6)))))</f>
        <v/>
      </c>
      <c r="FQ6" s="37" t="n"/>
      <c r="FR6" s="5" t="n"/>
      <c r="FS6" s="58" t="n"/>
      <c r="FT6" s="58" t="inlineStr">
        <is>
          <t>:</t>
        </is>
      </c>
      <c r="FU6" s="58" t="n"/>
      <c r="FV6" s="17">
        <f>IF(ISBLANK($E6),"",(IF(ISBLANK(FS6),0,IF((($E6=FS6)*($G6=FU6))*NOT(ISBLANK($E6)),1,0)+((($E6&gt;$G6)*(FS6&gt;FU6))+(($E6&lt;$G6)*(FS6&lt;FU6))+(($E6=$G6)*(FS6=FU6)))-ISBLANK($E6)*(FS6=FU6)+(($E6-$G6)=(FS6-FU6)))))</f>
        <v/>
      </c>
      <c r="FW6" s="37" t="n"/>
      <c r="FX6" s="5" t="n"/>
      <c r="FY6" s="58" t="n"/>
      <c r="FZ6" s="58" t="inlineStr">
        <is>
          <t>:</t>
        </is>
      </c>
      <c r="GA6" s="58" t="n"/>
      <c r="GB6" s="17">
        <f>IF(ISBLANK($E6),"",(IF(ISBLANK(FY6),0,IF((($E6=FY6)*($G6=GA6))*NOT(ISBLANK($E6)),1,0)+((($E6&gt;$G6)*(FY6&gt;GA6))+(($E6&lt;$G6)*(FY6&lt;GA6))+(($E6=$G6)*(FY6=GA6)))-ISBLANK($E6)*(FY6=GA6)+(($E6-$G6)=(FY6-GA6)))))</f>
        <v/>
      </c>
      <c r="GC6" s="37" t="n"/>
      <c r="GD6" s="5" t="n"/>
      <c r="GE6" s="58" t="n"/>
      <c r="GF6" s="58" t="inlineStr">
        <is>
          <t>:</t>
        </is>
      </c>
      <c r="GG6" s="58" t="n"/>
      <c r="GH6" s="17">
        <f>IF(ISBLANK($E6),"",(IF(ISBLANK(GE6),0,IF((($E6=GE6)*($G6=GG6))*NOT(ISBLANK($E6)),1,0)+((($E6&gt;$G6)*(GE6&gt;GG6))+(($E6&lt;$G6)*(GE6&lt;GG6))+(($E6=$G6)*(GE6=GG6)))-ISBLANK($E6)*(GE6=GG6)+(($E6-$G6)=(GE6-GG6)))))</f>
        <v/>
      </c>
      <c r="GI6" s="37" t="n"/>
      <c r="GJ6" s="5" t="n"/>
      <c r="GK6" s="58" t="n"/>
      <c r="GL6" s="58" t="inlineStr">
        <is>
          <t>:</t>
        </is>
      </c>
      <c r="GM6" s="58" t="n"/>
      <c r="GN6" s="17">
        <f>IF(ISBLANK($E6),"",(IF(ISBLANK(GK6),0,IF((($E6=GK6)*($G6=GM6))*NOT(ISBLANK($E6)),1,0)+((($E6&gt;$G6)*(GK6&gt;GM6))+(($E6&lt;$G6)*(GK6&lt;GM6))+(($E6=$G6)*(GK6=GM6)))-ISBLANK($E6)*(GK6=GM6)+(($E6-$G6)=(GK6-GM6)))))</f>
        <v/>
      </c>
      <c r="GO6" s="37" t="n"/>
      <c r="GP6" s="5" t="n"/>
      <c r="GQ6" s="58" t="n"/>
      <c r="GR6" s="58" t="inlineStr">
        <is>
          <t>:</t>
        </is>
      </c>
      <c r="GS6" s="58" t="n"/>
      <c r="GT6" s="17">
        <f>IF(ISBLANK($E6),"",(IF(ISBLANK(GQ6),0,IF((($E6=GQ6)*($G6=GS6))*NOT(ISBLANK($E6)),1,0)+((($E6&gt;$G6)*(GQ6&gt;GS6))+(($E6&lt;$G6)*(GQ6&lt;GS6))+(($E6=$G6)*(GQ6=GS6)))-ISBLANK($E6)*(GQ6=GS6)+(($E6-$G6)=(GQ6-GS6)))))</f>
        <v/>
      </c>
      <c r="GU6" s="37" t="n"/>
      <c r="GV6" s="5" t="n"/>
    </row>
    <row r="7" ht="18" customHeight="1">
      <c r="A7" s="62" t="n"/>
      <c r="B7" s="77" t="n"/>
      <c r="C7" s="78" t="inlineStr">
        <is>
          <t>:</t>
        </is>
      </c>
      <c r="D7" s="79" t="n"/>
      <c r="E7" s="54" t="n"/>
      <c r="F7" s="55" t="inlineStr">
        <is>
          <t>:</t>
        </is>
      </c>
      <c r="G7" s="55" t="n"/>
      <c r="I7" s="49">
        <f>COUNTIF(P7,3)+COUNTIF(V7,3)+COUNTIF(AB7,3)+COUNTIF(AH7,3)+COUNTIF(AN7,3)+COUNTIF(AT7,3)+COUNTIF(AZ7,3)+COUNTIF(BF7,3)+COUNTIF(BL7,3)+COUNTIF(BR7,3)+COUNTIF(BX7,3)+COUNTIF(CD7,3)+COUNTIF(CJ7,3)+COUNTIF(CP7,3)+COUNTIF(CV7,3)+COUNTIF(DB7,3)+COUNTIF(DH7,3)+COUNTIF(DN7,3)+COUNTIF(DT7,3)+COUNTIF(DZ7,3)+COUNTIF(EF7,3)+COUNTIF(EL7,3)+COUNTIF(ER7,3)+COUNTIF(EX7,3)+COUNTIF(FD7,3)+COUNTIF(FJ7,3)+COUNTIF(FP7,3)+COUNTIF(FV7,3)+COUNTIF(GB7,3)+COUNTIF(GH7,3)+COUNTIF(GN7,3)+COUNTIF(GT7,3)</f>
        <v/>
      </c>
      <c r="J7" s="49">
        <f>COUNTIF(P7,2)+COUNTIF(V7,2)+COUNTIF(AB7,2)+COUNTIF(AH7,2)+COUNTIF(AN7,2)+COUNTIF(AT7,2)+COUNTIF(AZ7,2)+COUNTIF(BF7,2)+COUNTIF(BL7,2)+COUNTIF(BR7,2)+COUNTIF(BX7,2)+COUNTIF(CD7,2)+COUNTIF(CJ7,2)+COUNTIF(CP7,2)+COUNTIF(CV7,2)+COUNTIF(DB7,2)+COUNTIF(DH7,2)+COUNTIF(DN7,2)+COUNTIF(DT7,2)+COUNTIF(DZ7,2)+COUNTIF(EF7,2)+COUNTIF(EL7,2)+COUNTIF(ER7,2)+COUNTIF(EX7,2)+COUNTIF(FD7,2)+COUNTIF(FJ7,2)+COUNTIF(FP7,2)+COUNTIF(FV7,2)+COUNTIF(GB7,2)+COUNTIF(GH7,2)+COUNTIF(GN7,2)+COUNTIF(GT7,2)</f>
        <v/>
      </c>
      <c r="K7" s="49">
        <f>COUNTIF(P7,1)+COUNTIF(V7,1)+COUNTIF(AB7,1)+COUNTIF(AH7,1)+COUNTIF(AN7,1)+COUNTIF(AT7,1)+COUNTIF(AZ7,1)+COUNTIF(BF7,1)+COUNTIF(BL7,1)+COUNTIF(BR7,1)+COUNTIF(BX7,1)+COUNTIF(CD7,1)+COUNTIF(CJ7,1)+COUNTIF(CP7,1)+COUNTIF(CV7,1)+COUNTIF(DB7,1)+COUNTIF(DH7,1)+COUNTIF(DN7,1)+COUNTIF(DT7,1)+COUNTIF(DZ7,1)+COUNTIF(EF7,1)+COUNTIF(EL7,1)+COUNTIF(ER7,1)+COUNTIF(EX7,1)+COUNTIF(FD7,1)+COUNTIF(FJ7,1)+COUNTIF(FP7,1)+COUNTIF(FV7,1)+COUNTIF(GB7,1)+COUNTIF(GH7,1)+COUNTIF(GN7,1)+COUNTIF(GT7,1)</f>
        <v/>
      </c>
      <c r="L7" s="5" t="n"/>
      <c r="M7" s="58" t="n"/>
      <c r="N7" s="58" t="inlineStr">
        <is>
          <t>:</t>
        </is>
      </c>
      <c r="O7" s="58" t="n"/>
      <c r="P7" s="17">
        <f>IF(ISBLANK($E7),"",(IF(ISBLANK(M7),0,IF((($E7=M7)*($G7=O7))*NOT(ISBLANK($E7)),1,0)+((($E7&gt;$G7)*(M7&gt;O7))+(($E7&lt;$G7)*(M7&lt;O7))+(($E7=$G7)*(M7=O7)))-ISBLANK($E7)*(M7=O7)+(($E7-$G7)=(M7-O7)))))</f>
        <v/>
      </c>
      <c r="Q7" s="35" t="n"/>
      <c r="R7" s="5" t="n"/>
      <c r="S7" s="58" t="n"/>
      <c r="T7" s="58" t="inlineStr">
        <is>
          <t>:</t>
        </is>
      </c>
      <c r="U7" s="58" t="n"/>
      <c r="V7" s="17">
        <f>IF(ISBLANK($E7),"",(IF(ISBLANK(S7),0,IF((($E7=S7)*($G7=U7))*NOT(ISBLANK($E7)),1,0)+((($E7&gt;$G7)*(S7&gt;U7))+(($E7&lt;$G7)*(S7&lt;U7))+(($E7=$G7)*(S7=U7)))-ISBLANK($E7)*(S7=U7)+(($E7-$G7)=(S7-U7)))))</f>
        <v/>
      </c>
      <c r="W7" s="37" t="n"/>
      <c r="X7" s="5" t="n"/>
      <c r="Y7" s="58" t="n"/>
      <c r="Z7" s="58" t="inlineStr">
        <is>
          <t>:</t>
        </is>
      </c>
      <c r="AA7" s="58" t="n"/>
      <c r="AB7" s="17">
        <f>IF(ISBLANK($E7),"",(IF(ISBLANK(Y7),0,IF((($E7=Y7)*($G7=AA7))*NOT(ISBLANK($E7)),1,0)+((($E7&gt;$G7)*(Y7&gt;AA7))+(($E7&lt;$G7)*(Y7&lt;AA7))+(($E7=$G7)*(Y7=AA7)))-ISBLANK($E7)*(Y7=AA7)+(($E7-$G7)=(Y7-AA7)))))</f>
        <v/>
      </c>
      <c r="AC7" s="37" t="n"/>
      <c r="AD7" s="5" t="n"/>
      <c r="AE7" s="58" t="n"/>
      <c r="AF7" s="58" t="inlineStr">
        <is>
          <t>:</t>
        </is>
      </c>
      <c r="AG7" s="58" t="n"/>
      <c r="AH7" s="17">
        <f>IF(ISBLANK($E7),"",(IF(ISBLANK(AE7),0,IF((($E7=AE7)*($G7=AG7))*NOT(ISBLANK($E7)),1,0)+((($E7&gt;$G7)*(AE7&gt;AG7))+(($E7&lt;$G7)*(AE7&lt;AG7))+(($E7=$G7)*(AE7=AG7)))-ISBLANK($E7)*(AE7=AG7)+(($E7-$G7)=(AE7-AG7)))))</f>
        <v/>
      </c>
      <c r="AI7" s="37" t="n"/>
      <c r="AJ7" s="5" t="n"/>
      <c r="AK7" s="58" t="n"/>
      <c r="AL7" s="58" t="inlineStr">
        <is>
          <t>:</t>
        </is>
      </c>
      <c r="AM7" s="58" t="n"/>
      <c r="AN7" s="17">
        <f>IF(ISBLANK($E7),"",(IF(ISBLANK(AK7),0,IF((($E7=AK7)*($G7=AM7))*NOT(ISBLANK($E7)),1,0)+((($E7&gt;$G7)*(AK7&gt;AM7))+(($E7&lt;$G7)*(AK7&lt;AM7))+(($E7=$G7)*(AK7=AM7)))-ISBLANK($E7)*(AK7=AM7)+(($E7-$G7)=(AK7-AM7)))))</f>
        <v/>
      </c>
      <c r="AO7" s="37" t="n"/>
      <c r="AP7" s="5" t="n"/>
      <c r="AQ7" s="58" t="n"/>
      <c r="AR7" s="58" t="inlineStr">
        <is>
          <t>:</t>
        </is>
      </c>
      <c r="AS7" s="58" t="n"/>
      <c r="AT7" s="17">
        <f>IF(ISBLANK($E7),"",(IF(ISBLANK(AQ7),0,IF((($E7=AQ7)*($G7=AS7))*NOT(ISBLANK($E7)),1,0)+((($E7&gt;$G7)*(AQ7&gt;AS7))+(($E7&lt;$G7)*(AQ7&lt;AS7))+(($E7=$G7)*(AQ7=AS7)))-ISBLANK($E7)*(AQ7=AS7)+(($E7-$G7)=(AQ7-AS7)))))</f>
        <v/>
      </c>
      <c r="AU7" s="37" t="n"/>
      <c r="AV7" s="5" t="n"/>
      <c r="AW7" s="58" t="n"/>
      <c r="AX7" s="58" t="inlineStr">
        <is>
          <t>:</t>
        </is>
      </c>
      <c r="AY7" s="58" t="n"/>
      <c r="AZ7" s="17">
        <f>IF(ISBLANK($E7),"",(IF(ISBLANK(AW7),0,IF((($E7=AW7)*($G7=AY7))*NOT(ISBLANK($E7)),1,0)+((($E7&gt;$G7)*(AW7&gt;AY7))+(($E7&lt;$G7)*(AW7&lt;AY7))+(($E7=$G7)*(AW7=AY7)))-ISBLANK($E7)*(AW7=AY7)+(($E7-$G7)=(AW7-AY7)))))</f>
        <v/>
      </c>
      <c r="BA7" s="37" t="n"/>
      <c r="BB7" s="5" t="n"/>
      <c r="BC7" s="58" t="n"/>
      <c r="BD7" s="58" t="inlineStr">
        <is>
          <t>:</t>
        </is>
      </c>
      <c r="BE7" s="58" t="n"/>
      <c r="BF7" s="17">
        <f>IF(ISBLANK($E7),"",(IF(ISBLANK(BC7),0,IF((($E7=BC7)*($G7=BE7))*NOT(ISBLANK($E7)),1,0)+((($E7&gt;$G7)*(BC7&gt;BE7))+(($E7&lt;$G7)*(BC7&lt;BE7))+(($E7=$G7)*(BC7=BE7)))-ISBLANK($E7)*(BC7=BE7)+(($E7-$G7)=(BC7-BE7)))))</f>
        <v/>
      </c>
      <c r="BG7" s="37" t="n"/>
      <c r="BH7" s="5" t="n"/>
      <c r="BI7" s="58" t="n"/>
      <c r="BJ7" s="58" t="inlineStr">
        <is>
          <t>:</t>
        </is>
      </c>
      <c r="BK7" s="58" t="n"/>
      <c r="BL7" s="17">
        <f>IF(ISBLANK($E7),"",(IF(ISBLANK(BI7),0,IF((($E7=BI7)*($G7=BK7))*NOT(ISBLANK($E7)),1,0)+((($E7&gt;$G7)*(BI7&gt;BK7))+(($E7&lt;$G7)*(BI7&lt;BK7))+(($E7=$G7)*(BI7=BK7)))-ISBLANK($E7)*(BI7=BK7)+(($E7-$G7)=(BI7-BK7)))))</f>
        <v/>
      </c>
      <c r="BM7" s="37" t="n"/>
      <c r="BN7" s="5" t="n"/>
      <c r="BO7" s="58" t="n"/>
      <c r="BP7" s="58" t="inlineStr">
        <is>
          <t>:</t>
        </is>
      </c>
      <c r="BQ7" s="58" t="n"/>
      <c r="BR7" s="17">
        <f>IF(ISBLANK($E7),"",(IF(ISBLANK(BO7),0,IF((($E7=BO7)*($G7=BQ7))*NOT(ISBLANK($E7)),1,0)+((($E7&gt;$G7)*(BO7&gt;BQ7))+(($E7&lt;$G7)*(BO7&lt;BQ7))+(($E7=$G7)*(BO7=BQ7)))-ISBLANK($E7)*(BO7=BQ7)+(($E7-$G7)=(BO7-BQ7)))))</f>
        <v/>
      </c>
      <c r="BS7" s="37" t="n"/>
      <c r="BT7" s="5" t="n"/>
      <c r="BU7" s="58" t="n"/>
      <c r="BV7" s="58" t="inlineStr">
        <is>
          <t>:</t>
        </is>
      </c>
      <c r="BW7" s="58" t="n"/>
      <c r="BX7" s="17">
        <f>IF(ISBLANK($E7),"",(IF(ISBLANK(BU7),0,IF((($E7=BU7)*($G7=BW7))*NOT(ISBLANK($E7)),1,0)+((($E7&gt;$G7)*(BU7&gt;BW7))+(($E7&lt;$G7)*(BU7&lt;BW7))+(($E7=$G7)*(BU7=BW7)))-ISBLANK($E7)*(BU7=BW7)+(($E7-$G7)=(BU7-BW7)))))</f>
        <v/>
      </c>
      <c r="BY7" s="37" t="n"/>
      <c r="BZ7" s="5" t="n"/>
      <c r="CA7" s="58" t="n"/>
      <c r="CB7" s="58" t="inlineStr">
        <is>
          <t>:</t>
        </is>
      </c>
      <c r="CC7" s="58" t="n"/>
      <c r="CD7" s="17">
        <f>IF(ISBLANK($E7),"",(IF(ISBLANK(CA7),0,IF((($E7=CA7)*($G7=CC7))*NOT(ISBLANK($E7)),1,0)+((($E7&gt;$G7)*(CA7&gt;CC7))+(($E7&lt;$G7)*(CA7&lt;CC7))+(($E7=$G7)*(CA7=CC7)))-ISBLANK($E7)*(CA7=CC7)+(($E7-$G7)=(CA7-CC7)))))</f>
        <v/>
      </c>
      <c r="CE7" s="37" t="n"/>
      <c r="CF7" s="5" t="n"/>
      <c r="CG7" s="58" t="n"/>
      <c r="CH7" s="58" t="inlineStr">
        <is>
          <t>:</t>
        </is>
      </c>
      <c r="CI7" s="58" t="n"/>
      <c r="CJ7" s="17">
        <f>IF(ISBLANK($E7),"",(IF(ISBLANK(CG7),0,IF((($E7=CG7)*($G7=CI7))*NOT(ISBLANK($E7)),1,0)+((($E7&gt;$G7)*(CG7&gt;CI7))+(($E7&lt;$G7)*(CG7&lt;CI7))+(($E7=$G7)*(CG7=CI7)))-ISBLANK($E7)*(CG7=CI7)+(($E7-$G7)=(CG7-CI7)))))</f>
        <v/>
      </c>
      <c r="CK7" s="37" t="n"/>
      <c r="CL7" s="5" t="n"/>
      <c r="CM7" s="58" t="n"/>
      <c r="CN7" s="58" t="inlineStr">
        <is>
          <t>:</t>
        </is>
      </c>
      <c r="CO7" s="58" t="n"/>
      <c r="CP7" s="17">
        <f>IF(ISBLANK($E7),"",(IF(ISBLANK(CM7),0,IF((($E7=CM7)*($G7=CO7))*NOT(ISBLANK($E7)),1,0)+((($E7&gt;$G7)*(CM7&gt;CO7))+(($E7&lt;$G7)*(CM7&lt;CO7))+(($E7=$G7)*(CM7=CO7)))-ISBLANK($E7)*(CM7=CO7)+(($E7-$G7)=(CM7-CO7)))))</f>
        <v/>
      </c>
      <c r="CQ7" s="37" t="n"/>
      <c r="CR7" s="5" t="n"/>
      <c r="CS7" s="58" t="n"/>
      <c r="CT7" s="58" t="inlineStr">
        <is>
          <t>:</t>
        </is>
      </c>
      <c r="CU7" s="58" t="n"/>
      <c r="CV7" s="17">
        <f>IF(ISBLANK($E7),"",(IF(ISBLANK(CS7),0,IF((($E7=CS7)*($G7=CU7))*NOT(ISBLANK($E7)),1,0)+((($E7&gt;$G7)*(CS7&gt;CU7))+(($E7&lt;$G7)*(CS7&lt;CU7))+(($E7=$G7)*(CS7=CU7)))-ISBLANK($E7)*(CS7=CU7)+(($E7-$G7)=(CS7-CU7)))))</f>
        <v/>
      </c>
      <c r="CW7" s="37" t="n"/>
      <c r="CX7" s="5" t="n"/>
      <c r="CY7" s="58" t="n"/>
      <c r="CZ7" s="58" t="inlineStr">
        <is>
          <t>:</t>
        </is>
      </c>
      <c r="DA7" s="58" t="n"/>
      <c r="DB7" s="17">
        <f>IF(ISBLANK($E7),"",(IF(ISBLANK(CY7),0,IF((($E7=CY7)*($G7=DA7))*NOT(ISBLANK($E7)),1,0)+((($E7&gt;$G7)*(CY7&gt;DA7))+(($E7&lt;$G7)*(CY7&lt;DA7))+(($E7=$G7)*(CY7=DA7)))-ISBLANK($E7)*(CY7=DA7)+(($E7-$G7)=(CY7-DA7)))))</f>
        <v/>
      </c>
      <c r="DC7" s="37" t="n"/>
      <c r="DD7" s="5" t="n"/>
      <c r="DE7" s="58" t="n"/>
      <c r="DF7" s="58" t="inlineStr">
        <is>
          <t>:</t>
        </is>
      </c>
      <c r="DG7" s="58" t="n"/>
      <c r="DH7" s="17">
        <f>IF(ISBLANK($E7),"",(IF(ISBLANK(DE7),0,IF((($E7=DE7)*($G7=DG7))*NOT(ISBLANK($E7)),1,0)+((($E7&gt;$G7)*(DE7&gt;DG7))+(($E7&lt;$G7)*(DE7&lt;DG7))+(($E7=$G7)*(DE7=DG7)))-ISBLANK($E7)*(DE7=DG7)+(($E7-$G7)=(DE7-DG7)))))</f>
        <v/>
      </c>
      <c r="DI7" s="37" t="n"/>
      <c r="DJ7" s="5" t="n"/>
      <c r="DK7" s="58" t="n"/>
      <c r="DL7" s="58" t="inlineStr">
        <is>
          <t>:</t>
        </is>
      </c>
      <c r="DM7" s="58" t="n"/>
      <c r="DN7" s="17">
        <f>IF(ISBLANK($E7),"",(IF(ISBLANK(DK7),0,IF((($E7=DK7)*($G7=DM7))*NOT(ISBLANK($E7)),1,0)+((($E7&gt;$G7)*(DK7&gt;DM7))+(($E7&lt;$G7)*(DK7&lt;DM7))+(($E7=$G7)*(DK7=DM7)))-ISBLANK($E7)*(DK7=DM7)+(($E7-$G7)=(DK7-DM7)))))</f>
        <v/>
      </c>
      <c r="DO7" s="37" t="n"/>
      <c r="DP7" s="5" t="n"/>
      <c r="DQ7" s="58" t="n"/>
      <c r="DR7" s="58" t="inlineStr">
        <is>
          <t>:</t>
        </is>
      </c>
      <c r="DS7" s="58" t="n"/>
      <c r="DT7" s="17">
        <f>IF(ISBLANK($E7),"",(IF(ISBLANK(DQ7),0,IF((($E7=DQ7)*($G7=DS7))*NOT(ISBLANK($E7)),1,0)+((($E7&gt;$G7)*(DQ7&gt;DS7))+(($E7&lt;$G7)*(DQ7&lt;DS7))+(($E7=$G7)*(DQ7=DS7)))-ISBLANK($E7)*(DQ7=DS7)+(($E7-$G7)=(DQ7-DS7)))))</f>
        <v/>
      </c>
      <c r="DU7" s="37" t="n"/>
      <c r="DV7" s="5" t="n"/>
      <c r="DW7" s="58" t="n"/>
      <c r="DX7" s="58" t="inlineStr">
        <is>
          <t>:</t>
        </is>
      </c>
      <c r="DY7" s="58" t="n"/>
      <c r="DZ7" s="17">
        <f>IF(ISBLANK($E7),"",(IF(ISBLANK(DW7),0,IF((($E7=DW7)*($G7=DY7))*NOT(ISBLANK($E7)),1,0)+((($E7&gt;$G7)*(DW7&gt;DY7))+(($E7&lt;$G7)*(DW7&lt;DY7))+(($E7=$G7)*(DW7=DY7)))-ISBLANK($E7)*(DW7=DY7)+(($E7-$G7)=(DW7-DY7)))))</f>
        <v/>
      </c>
      <c r="EA7" s="37" t="n"/>
      <c r="EB7" s="5" t="n"/>
      <c r="EC7" s="58" t="n"/>
      <c r="ED7" s="58" t="inlineStr">
        <is>
          <t>:</t>
        </is>
      </c>
      <c r="EE7" s="58" t="n"/>
      <c r="EF7" s="17">
        <f>IF(ISBLANK($E7),"",(IF(ISBLANK(EC7),0,IF((($E7=EC7)*($G7=EE7))*NOT(ISBLANK($E7)),1,0)+((($E7&gt;$G7)*(EC7&gt;EE7))+(($E7&lt;$G7)*(EC7&lt;EE7))+(($E7=$G7)*(EC7=EE7)))-ISBLANK($E7)*(EC7=EE7)+(($E7-$G7)=(EC7-EE7)))))</f>
        <v/>
      </c>
      <c r="EG7" s="37" t="n"/>
      <c r="EH7" s="5" t="n"/>
      <c r="EI7" s="58" t="n"/>
      <c r="EJ7" s="58" t="inlineStr">
        <is>
          <t>:</t>
        </is>
      </c>
      <c r="EK7" s="58" t="n"/>
      <c r="EL7" s="17">
        <f>IF(ISBLANK($E7),"",(IF(ISBLANK(EI7),0,IF((($E7=EI7)*($G7=EK7))*NOT(ISBLANK($E7)),1,0)+((($E7&gt;$G7)*(EI7&gt;EK7))+(($E7&lt;$G7)*(EI7&lt;EK7))+(($E7=$G7)*(EI7=EK7)))-ISBLANK($E7)*(EI7=EK7)+(($E7-$G7)=(EI7-EK7)))))</f>
        <v/>
      </c>
      <c r="EM7" s="37" t="n"/>
      <c r="EN7" s="5" t="n"/>
      <c r="EO7" s="58" t="n"/>
      <c r="EP7" s="58" t="inlineStr">
        <is>
          <t>:</t>
        </is>
      </c>
      <c r="EQ7" s="58" t="n"/>
      <c r="ER7" s="17">
        <f>IF(ISBLANK($E7),"",(IF(ISBLANK(EO7),0,IF((($E7=EO7)*($G7=EQ7))*NOT(ISBLANK($E7)),1,0)+((($E7&gt;$G7)*(EO7&gt;EQ7))+(($E7&lt;$G7)*(EO7&lt;EQ7))+(($E7=$G7)*(EO7=EQ7)))-ISBLANK($E7)*(EO7=EQ7)+(($E7-$G7)=(EO7-EQ7)))))</f>
        <v/>
      </c>
      <c r="ES7" s="37" t="n"/>
      <c r="ET7" s="5" t="n"/>
      <c r="EU7" s="58" t="n"/>
      <c r="EV7" s="58" t="inlineStr">
        <is>
          <t>:</t>
        </is>
      </c>
      <c r="EW7" s="58" t="n"/>
      <c r="EX7" s="17">
        <f>IF(ISBLANK($E7),"",(IF(ISBLANK(EU7),0,IF((($E7=EU7)*($G7=EW7))*NOT(ISBLANK($E7)),1,0)+((($E7&gt;$G7)*(EU7&gt;EW7))+(($E7&lt;$G7)*(EU7&lt;EW7))+(($E7=$G7)*(EU7=EW7)))-ISBLANK($E7)*(EU7=EW7)+(($E7-$G7)=(EU7-EW7)))))</f>
        <v/>
      </c>
      <c r="EY7" s="37" t="n"/>
      <c r="EZ7" s="5" t="n"/>
      <c r="FA7" s="58" t="n"/>
      <c r="FB7" s="58" t="inlineStr">
        <is>
          <t>:</t>
        </is>
      </c>
      <c r="FC7" s="58" t="n"/>
      <c r="FD7" s="17">
        <f>IF(ISBLANK($E7),"",(IF(ISBLANK(FA7),0,IF((($E7=FA7)*($G7=FC7))*NOT(ISBLANK($E7)),1,0)+((($E7&gt;$G7)*(FA7&gt;FC7))+(($E7&lt;$G7)*(FA7&lt;FC7))+(($E7=$G7)*(FA7=FC7)))-ISBLANK($E7)*(FA7=FC7)+(($E7-$G7)=(FA7-FC7)))))</f>
        <v/>
      </c>
      <c r="FE7" s="37" t="n"/>
      <c r="FF7" s="5" t="n"/>
      <c r="FG7" s="58" t="n"/>
      <c r="FH7" s="58" t="inlineStr">
        <is>
          <t>:</t>
        </is>
      </c>
      <c r="FI7" s="58" t="n"/>
      <c r="FJ7" s="17">
        <f>IF(ISBLANK($E7),"",(IF(ISBLANK(FG7),0,IF((($E7=FG7)*($G7=FI7))*NOT(ISBLANK($E7)),1,0)+((($E7&gt;$G7)*(FG7&gt;FI7))+(($E7&lt;$G7)*(FG7&lt;FI7))+(($E7=$G7)*(FG7=FI7)))-ISBLANK($E7)*(FG7=FI7)+(($E7-$G7)=(FG7-FI7)))))</f>
        <v/>
      </c>
      <c r="FK7" s="37" t="n"/>
      <c r="FL7" s="5" t="n"/>
      <c r="FM7" s="58" t="n"/>
      <c r="FN7" s="58" t="inlineStr">
        <is>
          <t>:</t>
        </is>
      </c>
      <c r="FO7" s="58" t="n"/>
      <c r="FP7" s="17">
        <f>IF(ISBLANK($E7),"",(IF(ISBLANK(FM7),0,IF((($E7=FM7)*($G7=FO7))*NOT(ISBLANK($E7)),1,0)+((($E7&gt;$G7)*(FM7&gt;FO7))+(($E7&lt;$G7)*(FM7&lt;FO7))+(($E7=$G7)*(FM7=FO7)))-ISBLANK($E7)*(FM7=FO7)+(($E7-$G7)=(FM7-FO7)))))</f>
        <v/>
      </c>
      <c r="FQ7" s="37" t="n"/>
      <c r="FR7" s="5" t="n"/>
      <c r="FS7" s="58" t="n"/>
      <c r="FT7" s="58" t="inlineStr">
        <is>
          <t>:</t>
        </is>
      </c>
      <c r="FU7" s="58" t="n"/>
      <c r="FV7" s="17">
        <f>IF(ISBLANK($E7),"",(IF(ISBLANK(FS7),0,IF((($E7=FS7)*($G7=FU7))*NOT(ISBLANK($E7)),1,0)+((($E7&gt;$G7)*(FS7&gt;FU7))+(($E7&lt;$G7)*(FS7&lt;FU7))+(($E7=$G7)*(FS7=FU7)))-ISBLANK($E7)*(FS7=FU7)+(($E7-$G7)=(FS7-FU7)))))</f>
        <v/>
      </c>
      <c r="FW7" s="37" t="n"/>
      <c r="FX7" s="5" t="n"/>
      <c r="FY7" s="58" t="n"/>
      <c r="FZ7" s="58" t="inlineStr">
        <is>
          <t>:</t>
        </is>
      </c>
      <c r="GA7" s="58" t="n"/>
      <c r="GB7" s="17">
        <f>IF(ISBLANK($E7),"",(IF(ISBLANK(FY7),0,IF((($E7=FY7)*($G7=GA7))*NOT(ISBLANK($E7)),1,0)+((($E7&gt;$G7)*(FY7&gt;GA7))+(($E7&lt;$G7)*(FY7&lt;GA7))+(($E7=$G7)*(FY7=GA7)))-ISBLANK($E7)*(FY7=GA7)+(($E7-$G7)=(FY7-GA7)))))</f>
        <v/>
      </c>
      <c r="GC7" s="37" t="n"/>
      <c r="GD7" s="5" t="n"/>
      <c r="GE7" s="58" t="n"/>
      <c r="GF7" s="58" t="inlineStr">
        <is>
          <t>:</t>
        </is>
      </c>
      <c r="GG7" s="58" t="n"/>
      <c r="GH7" s="17">
        <f>IF(ISBLANK($E7),"",(IF(ISBLANK(GE7),0,IF((($E7=GE7)*($G7=GG7))*NOT(ISBLANK($E7)),1,0)+((($E7&gt;$G7)*(GE7&gt;GG7))+(($E7&lt;$G7)*(GE7&lt;GG7))+(($E7=$G7)*(GE7=GG7)))-ISBLANK($E7)*(GE7=GG7)+(($E7-$G7)=(GE7-GG7)))))</f>
        <v/>
      </c>
      <c r="GI7" s="37" t="n"/>
      <c r="GJ7" s="5" t="n"/>
      <c r="GK7" s="58" t="n"/>
      <c r="GL7" s="58" t="inlineStr">
        <is>
          <t>:</t>
        </is>
      </c>
      <c r="GM7" s="58" t="n"/>
      <c r="GN7" s="17">
        <f>IF(ISBLANK($E7),"",(IF(ISBLANK(GK7),0,IF((($E7=GK7)*($G7=GM7))*NOT(ISBLANK($E7)),1,0)+((($E7&gt;$G7)*(GK7&gt;GM7))+(($E7&lt;$G7)*(GK7&lt;GM7))+(($E7=$G7)*(GK7=GM7)))-ISBLANK($E7)*(GK7=GM7)+(($E7-$G7)=(GK7-GM7)))))</f>
        <v/>
      </c>
      <c r="GO7" s="37" t="n"/>
      <c r="GP7" s="5" t="n"/>
      <c r="GQ7" s="58" t="n"/>
      <c r="GR7" s="58" t="inlineStr">
        <is>
          <t>:</t>
        </is>
      </c>
      <c r="GS7" s="58" t="n"/>
      <c r="GT7" s="17">
        <f>IF(ISBLANK($E7),"",(IF(ISBLANK(GQ7),0,IF((($E7=GQ7)*($G7=GS7))*NOT(ISBLANK($E7)),1,0)+((($E7&gt;$G7)*(GQ7&gt;GS7))+(($E7&lt;$G7)*(GQ7&lt;GS7))+(($E7=$G7)*(GQ7=GS7)))-ISBLANK($E7)*(GQ7=GS7)+(($E7-$G7)=(GQ7-GS7)))))</f>
        <v/>
      </c>
      <c r="GU7" s="37" t="n"/>
      <c r="GV7" s="5" t="n"/>
    </row>
    <row r="8" ht="18" customHeight="1">
      <c r="A8" s="62" t="n"/>
      <c r="B8" s="77" t="n"/>
      <c r="C8" s="78" t="inlineStr">
        <is>
          <t>:</t>
        </is>
      </c>
      <c r="D8" s="79" t="n"/>
      <c r="E8" s="54" t="n"/>
      <c r="F8" s="55" t="inlineStr">
        <is>
          <t>:</t>
        </is>
      </c>
      <c r="G8" s="55" t="n"/>
      <c r="I8" s="49">
        <f>COUNTIF(P8,3)+COUNTIF(V8,3)+COUNTIF(AB8,3)+COUNTIF(AH8,3)+COUNTIF(AN8,3)+COUNTIF(AT8,3)+COUNTIF(AZ8,3)+COUNTIF(BF8,3)+COUNTIF(BL8,3)+COUNTIF(BR8,3)+COUNTIF(BX8,3)+COUNTIF(CD8,3)+COUNTIF(CJ8,3)+COUNTIF(CP8,3)+COUNTIF(CV8,3)+COUNTIF(DB8,3)+COUNTIF(DH8,3)+COUNTIF(DN8,3)+COUNTIF(DT8,3)+COUNTIF(DZ8,3)+COUNTIF(EF8,3)+COUNTIF(EL8,3)+COUNTIF(ER8,3)+COUNTIF(EX8,3)+COUNTIF(FD8,3)+COUNTIF(FJ8,3)+COUNTIF(FP8,3)+COUNTIF(FV8,3)+COUNTIF(GB8,3)+COUNTIF(GH8,3)+COUNTIF(GN8,3)+COUNTIF(GT8,3)</f>
        <v/>
      </c>
      <c r="J8" s="49">
        <f>COUNTIF(P8,2)+COUNTIF(V8,2)+COUNTIF(AB8,2)+COUNTIF(AH8,2)+COUNTIF(AN8,2)+COUNTIF(AT8,2)+COUNTIF(AZ8,2)+COUNTIF(BF8,2)+COUNTIF(BL8,2)+COUNTIF(BR8,2)+COUNTIF(BX8,2)+COUNTIF(CD8,2)+COUNTIF(CJ8,2)+COUNTIF(CP8,2)+COUNTIF(CV8,2)+COUNTIF(DB8,2)+COUNTIF(DH8,2)+COUNTIF(DN8,2)+COUNTIF(DT8,2)+COUNTIF(DZ8,2)+COUNTIF(EF8,2)+COUNTIF(EL8,2)+COUNTIF(ER8,2)+COUNTIF(EX8,2)+COUNTIF(FD8,2)+COUNTIF(FJ8,2)+COUNTIF(FP8,2)+COUNTIF(FV8,2)+COUNTIF(GB8,2)+COUNTIF(GH8,2)+COUNTIF(GN8,2)+COUNTIF(GT8,2)</f>
        <v/>
      </c>
      <c r="K8" s="49">
        <f>COUNTIF(P8,1)+COUNTIF(V8,1)+COUNTIF(AB8,1)+COUNTIF(AH8,1)+COUNTIF(AN8,1)+COUNTIF(AT8,1)+COUNTIF(AZ8,1)+COUNTIF(BF8,1)+COUNTIF(BL8,1)+COUNTIF(BR8,1)+COUNTIF(BX8,1)+COUNTIF(CD8,1)+COUNTIF(CJ8,1)+COUNTIF(CP8,1)+COUNTIF(CV8,1)+COUNTIF(DB8,1)+COUNTIF(DH8,1)+COUNTIF(DN8,1)+COUNTIF(DT8,1)+COUNTIF(DZ8,1)+COUNTIF(EF8,1)+COUNTIF(EL8,1)+COUNTIF(ER8,1)+COUNTIF(EX8,1)+COUNTIF(FD8,1)+COUNTIF(FJ8,1)+COUNTIF(FP8,1)+COUNTIF(FV8,1)+COUNTIF(GB8,1)+COUNTIF(GH8,1)+COUNTIF(GN8,1)+COUNTIF(GT8,1)</f>
        <v/>
      </c>
      <c r="L8" s="5" t="n"/>
      <c r="M8" s="58" t="n"/>
      <c r="N8" s="58" t="inlineStr">
        <is>
          <t>:</t>
        </is>
      </c>
      <c r="O8" s="58" t="n"/>
      <c r="P8" s="17">
        <f>IF(ISBLANK($E8),"",(IF(ISBLANK(M8),0,IF((($E8=M8)*($G8=O8))*NOT(ISBLANK($E8)),1,0)+((($E8&gt;$G8)*(M8&gt;O8))+(($E8&lt;$G8)*(M8&lt;O8))+(($E8=$G8)*(M8=O8)))-ISBLANK($E8)*(M8=O8)+(($E8-$G8)=(M8-O8)))))</f>
        <v/>
      </c>
      <c r="Q8" s="35" t="n"/>
      <c r="R8" s="5" t="n"/>
      <c r="S8" s="58" t="n"/>
      <c r="T8" s="58" t="inlineStr">
        <is>
          <t>:</t>
        </is>
      </c>
      <c r="U8" s="58" t="n"/>
      <c r="V8" s="17">
        <f>IF(ISBLANK($E8),"",(IF(ISBLANK(S8),0,IF((($E8=S8)*($G8=U8))*NOT(ISBLANK($E8)),1,0)+((($E8&gt;$G8)*(S8&gt;U8))+(($E8&lt;$G8)*(S8&lt;U8))+(($E8=$G8)*(S8=U8)))-ISBLANK($E8)*(S8=U8)+(($E8-$G8)=(S8-U8)))))</f>
        <v/>
      </c>
      <c r="W8" s="37" t="n"/>
      <c r="X8" s="5" t="n"/>
      <c r="Y8" s="58" t="n"/>
      <c r="Z8" s="58" t="inlineStr">
        <is>
          <t>:</t>
        </is>
      </c>
      <c r="AA8" s="58" t="n"/>
      <c r="AB8" s="17">
        <f>IF(ISBLANK($E8),"",(IF(ISBLANK(Y8),0,IF((($E8=Y8)*($G8=AA8))*NOT(ISBLANK($E8)),1,0)+((($E8&gt;$G8)*(Y8&gt;AA8))+(($E8&lt;$G8)*(Y8&lt;AA8))+(($E8=$G8)*(Y8=AA8)))-ISBLANK($E8)*(Y8=AA8)+(($E8-$G8)=(Y8-AA8)))))</f>
        <v/>
      </c>
      <c r="AC8" s="37" t="n"/>
      <c r="AD8" s="5" t="n"/>
      <c r="AE8" s="58" t="n"/>
      <c r="AF8" s="58" t="inlineStr">
        <is>
          <t>:</t>
        </is>
      </c>
      <c r="AG8" s="58" t="n"/>
      <c r="AH8" s="17">
        <f>IF(ISBLANK($E8),"",(IF(ISBLANK(AE8),0,IF((($E8=AE8)*($G8=AG8))*NOT(ISBLANK($E8)),1,0)+((($E8&gt;$G8)*(AE8&gt;AG8))+(($E8&lt;$G8)*(AE8&lt;AG8))+(($E8=$G8)*(AE8=AG8)))-ISBLANK($E8)*(AE8=AG8)+(($E8-$G8)=(AE8-AG8)))))</f>
        <v/>
      </c>
      <c r="AI8" s="37" t="n"/>
      <c r="AJ8" s="5" t="n"/>
      <c r="AK8" s="58" t="n"/>
      <c r="AL8" s="58" t="inlineStr">
        <is>
          <t>:</t>
        </is>
      </c>
      <c r="AM8" s="58" t="n"/>
      <c r="AN8" s="17">
        <f>IF(ISBLANK($E8),"",(IF(ISBLANK(AK8),0,IF((($E8=AK8)*($G8=AM8))*NOT(ISBLANK($E8)),1,0)+((($E8&gt;$G8)*(AK8&gt;AM8))+(($E8&lt;$G8)*(AK8&lt;AM8))+(($E8=$G8)*(AK8=AM8)))-ISBLANK($E8)*(AK8=AM8)+(($E8-$G8)=(AK8-AM8)))))</f>
        <v/>
      </c>
      <c r="AO8" s="37" t="n"/>
      <c r="AP8" s="5" t="n"/>
      <c r="AQ8" s="58" t="n"/>
      <c r="AR8" s="58" t="inlineStr">
        <is>
          <t>:</t>
        </is>
      </c>
      <c r="AS8" s="58" t="n"/>
      <c r="AT8" s="17">
        <f>IF(ISBLANK($E8),"",(IF(ISBLANK(AQ8),0,IF((($E8=AQ8)*($G8=AS8))*NOT(ISBLANK($E8)),1,0)+((($E8&gt;$G8)*(AQ8&gt;AS8))+(($E8&lt;$G8)*(AQ8&lt;AS8))+(($E8=$G8)*(AQ8=AS8)))-ISBLANK($E8)*(AQ8=AS8)+(($E8-$G8)=(AQ8-AS8)))))</f>
        <v/>
      </c>
      <c r="AU8" s="37" t="n"/>
      <c r="AV8" s="5" t="n"/>
      <c r="AW8" s="58" t="n"/>
      <c r="AX8" s="58" t="inlineStr">
        <is>
          <t>:</t>
        </is>
      </c>
      <c r="AY8" s="58" t="n"/>
      <c r="AZ8" s="17">
        <f>IF(ISBLANK($E8),"",(IF(ISBLANK(AW8),0,IF((($E8=AW8)*($G8=AY8))*NOT(ISBLANK($E8)),1,0)+((($E8&gt;$G8)*(AW8&gt;AY8))+(($E8&lt;$G8)*(AW8&lt;AY8))+(($E8=$G8)*(AW8=AY8)))-ISBLANK($E8)*(AW8=AY8)+(($E8-$G8)=(AW8-AY8)))))</f>
        <v/>
      </c>
      <c r="BA8" s="37" t="n"/>
      <c r="BB8" s="5" t="n"/>
      <c r="BC8" s="58" t="n"/>
      <c r="BD8" s="58" t="inlineStr">
        <is>
          <t>:</t>
        </is>
      </c>
      <c r="BE8" s="58" t="n"/>
      <c r="BF8" s="17">
        <f>IF(ISBLANK($E8),"",(IF(ISBLANK(BC8),0,IF((($E8=BC8)*($G8=BE8))*NOT(ISBLANK($E8)),1,0)+((($E8&gt;$G8)*(BC8&gt;BE8))+(($E8&lt;$G8)*(BC8&lt;BE8))+(($E8=$G8)*(BC8=BE8)))-ISBLANK($E8)*(BC8=BE8)+(($E8-$G8)=(BC8-BE8)))))</f>
        <v/>
      </c>
      <c r="BG8" s="37" t="n"/>
      <c r="BH8" s="5" t="n"/>
      <c r="BI8" s="58" t="n"/>
      <c r="BJ8" s="58" t="inlineStr">
        <is>
          <t>:</t>
        </is>
      </c>
      <c r="BK8" s="58" t="n"/>
      <c r="BL8" s="17">
        <f>IF(ISBLANK($E8),"",(IF(ISBLANK(BI8),0,IF((($E8=BI8)*($G8=BK8))*NOT(ISBLANK($E8)),1,0)+((($E8&gt;$G8)*(BI8&gt;BK8))+(($E8&lt;$G8)*(BI8&lt;BK8))+(($E8=$G8)*(BI8=BK8)))-ISBLANK($E8)*(BI8=BK8)+(($E8-$G8)=(BI8-BK8)))))</f>
        <v/>
      </c>
      <c r="BM8" s="37" t="n"/>
      <c r="BN8" s="5" t="n"/>
      <c r="BO8" s="58" t="n"/>
      <c r="BP8" s="58" t="inlineStr">
        <is>
          <t>:</t>
        </is>
      </c>
      <c r="BQ8" s="58" t="n"/>
      <c r="BR8" s="17">
        <f>IF(ISBLANK($E8),"",(IF(ISBLANK(BO8),0,IF((($E8=BO8)*($G8=BQ8))*NOT(ISBLANK($E8)),1,0)+((($E8&gt;$G8)*(BO8&gt;BQ8))+(($E8&lt;$G8)*(BO8&lt;BQ8))+(($E8=$G8)*(BO8=BQ8)))-ISBLANK($E8)*(BO8=BQ8)+(($E8-$G8)=(BO8-BQ8)))))</f>
        <v/>
      </c>
      <c r="BS8" s="37" t="n"/>
      <c r="BT8" s="5" t="n"/>
      <c r="BU8" s="58" t="n"/>
      <c r="BV8" s="58" t="inlineStr">
        <is>
          <t>:</t>
        </is>
      </c>
      <c r="BW8" s="58" t="n"/>
      <c r="BX8" s="17">
        <f>IF(ISBLANK($E8),"",(IF(ISBLANK(BU8),0,IF((($E8=BU8)*($G8=BW8))*NOT(ISBLANK($E8)),1,0)+((($E8&gt;$G8)*(BU8&gt;BW8))+(($E8&lt;$G8)*(BU8&lt;BW8))+(($E8=$G8)*(BU8=BW8)))-ISBLANK($E8)*(BU8=BW8)+(($E8-$G8)=(BU8-BW8)))))</f>
        <v/>
      </c>
      <c r="BY8" s="37" t="n"/>
      <c r="BZ8" s="5" t="n"/>
      <c r="CA8" s="58" t="n"/>
      <c r="CB8" s="58" t="inlineStr">
        <is>
          <t>:</t>
        </is>
      </c>
      <c r="CC8" s="58" t="n"/>
      <c r="CD8" s="17">
        <f>IF(ISBLANK($E8),"",(IF(ISBLANK(CA8),0,IF((($E8=CA8)*($G8=CC8))*NOT(ISBLANK($E8)),1,0)+((($E8&gt;$G8)*(CA8&gt;CC8))+(($E8&lt;$G8)*(CA8&lt;CC8))+(($E8=$G8)*(CA8=CC8)))-ISBLANK($E8)*(CA8=CC8)+(($E8-$G8)=(CA8-CC8)))))</f>
        <v/>
      </c>
      <c r="CE8" s="37" t="n"/>
      <c r="CF8" s="5" t="n"/>
      <c r="CG8" s="58" t="n"/>
      <c r="CH8" s="58" t="inlineStr">
        <is>
          <t>:</t>
        </is>
      </c>
      <c r="CI8" s="58" t="n"/>
      <c r="CJ8" s="17">
        <f>IF(ISBLANK($E8),"",(IF(ISBLANK(CG8),0,IF((($E8=CG8)*($G8=CI8))*NOT(ISBLANK($E8)),1,0)+((($E8&gt;$G8)*(CG8&gt;CI8))+(($E8&lt;$G8)*(CG8&lt;CI8))+(($E8=$G8)*(CG8=CI8)))-ISBLANK($E8)*(CG8=CI8)+(($E8-$G8)=(CG8-CI8)))))</f>
        <v/>
      </c>
      <c r="CK8" s="37" t="n"/>
      <c r="CL8" s="5" t="n"/>
      <c r="CM8" s="58" t="n"/>
      <c r="CN8" s="58" t="inlineStr">
        <is>
          <t>:</t>
        </is>
      </c>
      <c r="CO8" s="58" t="n"/>
      <c r="CP8" s="17">
        <f>IF(ISBLANK($E8),"",(IF(ISBLANK(CM8),0,IF((($E8=CM8)*($G8=CO8))*NOT(ISBLANK($E8)),1,0)+((($E8&gt;$G8)*(CM8&gt;CO8))+(($E8&lt;$G8)*(CM8&lt;CO8))+(($E8=$G8)*(CM8=CO8)))-ISBLANK($E8)*(CM8=CO8)+(($E8-$G8)=(CM8-CO8)))))</f>
        <v/>
      </c>
      <c r="CQ8" s="37" t="n"/>
      <c r="CR8" s="5" t="n"/>
      <c r="CS8" s="58" t="n"/>
      <c r="CT8" s="58" t="inlineStr">
        <is>
          <t>:</t>
        </is>
      </c>
      <c r="CU8" s="58" t="n"/>
      <c r="CV8" s="17">
        <f>IF(ISBLANK($E8),"",(IF(ISBLANK(CS8),0,IF((($E8=CS8)*($G8=CU8))*NOT(ISBLANK($E8)),1,0)+((($E8&gt;$G8)*(CS8&gt;CU8))+(($E8&lt;$G8)*(CS8&lt;CU8))+(($E8=$G8)*(CS8=CU8)))-ISBLANK($E8)*(CS8=CU8)+(($E8-$G8)=(CS8-CU8)))))</f>
        <v/>
      </c>
      <c r="CW8" s="37" t="n"/>
      <c r="CX8" s="5" t="n"/>
      <c r="CY8" s="58" t="n"/>
      <c r="CZ8" s="58" t="inlineStr">
        <is>
          <t>:</t>
        </is>
      </c>
      <c r="DA8" s="58" t="n"/>
      <c r="DB8" s="17">
        <f>IF(ISBLANK($E8),"",(IF(ISBLANK(CY8),0,IF((($E8=CY8)*($G8=DA8))*NOT(ISBLANK($E8)),1,0)+((($E8&gt;$G8)*(CY8&gt;DA8))+(($E8&lt;$G8)*(CY8&lt;DA8))+(($E8=$G8)*(CY8=DA8)))-ISBLANK($E8)*(CY8=DA8)+(($E8-$G8)=(CY8-DA8)))))</f>
        <v/>
      </c>
      <c r="DC8" s="37" t="n"/>
      <c r="DD8" s="5" t="n"/>
      <c r="DE8" s="58" t="n"/>
      <c r="DF8" s="58" t="inlineStr">
        <is>
          <t>:</t>
        </is>
      </c>
      <c r="DG8" s="58" t="n"/>
      <c r="DH8" s="17">
        <f>IF(ISBLANK($E8),"",(IF(ISBLANK(DE8),0,IF((($E8=DE8)*($G8=DG8))*NOT(ISBLANK($E8)),1,0)+((($E8&gt;$G8)*(DE8&gt;DG8))+(($E8&lt;$G8)*(DE8&lt;DG8))+(($E8=$G8)*(DE8=DG8)))-ISBLANK($E8)*(DE8=DG8)+(($E8-$G8)=(DE8-DG8)))))</f>
        <v/>
      </c>
      <c r="DI8" s="37" t="n"/>
      <c r="DJ8" s="5" t="n"/>
      <c r="DK8" s="58" t="n"/>
      <c r="DL8" s="58" t="inlineStr">
        <is>
          <t>:</t>
        </is>
      </c>
      <c r="DM8" s="58" t="n"/>
      <c r="DN8" s="17">
        <f>IF(ISBLANK($E8),"",(IF(ISBLANK(DK8),0,IF((($E8=DK8)*($G8=DM8))*NOT(ISBLANK($E8)),1,0)+((($E8&gt;$G8)*(DK8&gt;DM8))+(($E8&lt;$G8)*(DK8&lt;DM8))+(($E8=$G8)*(DK8=DM8)))-ISBLANK($E8)*(DK8=DM8)+(($E8-$G8)=(DK8-DM8)))))</f>
        <v/>
      </c>
      <c r="DO8" s="37" t="n"/>
      <c r="DP8" s="5" t="n"/>
      <c r="DQ8" s="58" t="n"/>
      <c r="DR8" s="58" t="inlineStr">
        <is>
          <t>:</t>
        </is>
      </c>
      <c r="DS8" s="58" t="n"/>
      <c r="DT8" s="17">
        <f>IF(ISBLANK($E8),"",(IF(ISBLANK(DQ8),0,IF((($E8=DQ8)*($G8=DS8))*NOT(ISBLANK($E8)),1,0)+((($E8&gt;$G8)*(DQ8&gt;DS8))+(($E8&lt;$G8)*(DQ8&lt;DS8))+(($E8=$G8)*(DQ8=DS8)))-ISBLANK($E8)*(DQ8=DS8)+(($E8-$G8)=(DQ8-DS8)))))</f>
        <v/>
      </c>
      <c r="DU8" s="37" t="n"/>
      <c r="DV8" s="5" t="n"/>
      <c r="DW8" s="58" t="n"/>
      <c r="DX8" s="58" t="inlineStr">
        <is>
          <t>:</t>
        </is>
      </c>
      <c r="DY8" s="58" t="n"/>
      <c r="DZ8" s="17">
        <f>IF(ISBLANK($E8),"",(IF(ISBLANK(DW8),0,IF((($E8=DW8)*($G8=DY8))*NOT(ISBLANK($E8)),1,0)+((($E8&gt;$G8)*(DW8&gt;DY8))+(($E8&lt;$G8)*(DW8&lt;DY8))+(($E8=$G8)*(DW8=DY8)))-ISBLANK($E8)*(DW8=DY8)+(($E8-$G8)=(DW8-DY8)))))</f>
        <v/>
      </c>
      <c r="EA8" s="37" t="n"/>
      <c r="EB8" s="5" t="n"/>
      <c r="EC8" s="58" t="n"/>
      <c r="ED8" s="58" t="inlineStr">
        <is>
          <t>:</t>
        </is>
      </c>
      <c r="EE8" s="58" t="n"/>
      <c r="EF8" s="17">
        <f>IF(ISBLANK($E8),"",(IF(ISBLANK(EC8),0,IF((($E8=EC8)*($G8=EE8))*NOT(ISBLANK($E8)),1,0)+((($E8&gt;$G8)*(EC8&gt;EE8))+(($E8&lt;$G8)*(EC8&lt;EE8))+(($E8=$G8)*(EC8=EE8)))-ISBLANK($E8)*(EC8=EE8)+(($E8-$G8)=(EC8-EE8)))))</f>
        <v/>
      </c>
      <c r="EG8" s="37" t="n"/>
      <c r="EH8" s="5" t="n"/>
      <c r="EI8" s="58" t="n"/>
      <c r="EJ8" s="58" t="inlineStr">
        <is>
          <t>:</t>
        </is>
      </c>
      <c r="EK8" s="58" t="n"/>
      <c r="EL8" s="17">
        <f>IF(ISBLANK($E8),"",(IF(ISBLANK(EI8),0,IF((($E8=EI8)*($G8=EK8))*NOT(ISBLANK($E8)),1,0)+((($E8&gt;$G8)*(EI8&gt;EK8))+(($E8&lt;$G8)*(EI8&lt;EK8))+(($E8=$G8)*(EI8=EK8)))-ISBLANK($E8)*(EI8=EK8)+(($E8-$G8)=(EI8-EK8)))))</f>
        <v/>
      </c>
      <c r="EM8" s="37" t="n"/>
      <c r="EN8" s="5" t="n"/>
      <c r="EO8" s="58" t="n"/>
      <c r="EP8" s="58" t="inlineStr">
        <is>
          <t>:</t>
        </is>
      </c>
      <c r="EQ8" s="58" t="n"/>
      <c r="ER8" s="17">
        <f>IF(ISBLANK($E8),"",(IF(ISBLANK(EO8),0,IF((($E8=EO8)*($G8=EQ8))*NOT(ISBLANK($E8)),1,0)+((($E8&gt;$G8)*(EO8&gt;EQ8))+(($E8&lt;$G8)*(EO8&lt;EQ8))+(($E8=$G8)*(EO8=EQ8)))-ISBLANK($E8)*(EO8=EQ8)+(($E8-$G8)=(EO8-EQ8)))))</f>
        <v/>
      </c>
      <c r="ES8" s="37" t="n"/>
      <c r="ET8" s="5" t="n"/>
      <c r="EU8" s="58" t="n"/>
      <c r="EV8" s="58" t="inlineStr">
        <is>
          <t>:</t>
        </is>
      </c>
      <c r="EW8" s="58" t="n"/>
      <c r="EX8" s="17">
        <f>IF(ISBLANK($E8),"",(IF(ISBLANK(EU8),0,IF((($E8=EU8)*($G8=EW8))*NOT(ISBLANK($E8)),1,0)+((($E8&gt;$G8)*(EU8&gt;EW8))+(($E8&lt;$G8)*(EU8&lt;EW8))+(($E8=$G8)*(EU8=EW8)))-ISBLANK($E8)*(EU8=EW8)+(($E8-$G8)=(EU8-EW8)))))</f>
        <v/>
      </c>
      <c r="EY8" s="37" t="n"/>
      <c r="EZ8" s="5" t="n"/>
      <c r="FA8" s="58" t="n"/>
      <c r="FB8" s="58" t="inlineStr">
        <is>
          <t>:</t>
        </is>
      </c>
      <c r="FC8" s="58" t="n"/>
      <c r="FD8" s="17">
        <f>IF(ISBLANK($E8),"",(IF(ISBLANK(FA8),0,IF((($E8=FA8)*($G8=FC8))*NOT(ISBLANK($E8)),1,0)+((($E8&gt;$G8)*(FA8&gt;FC8))+(($E8&lt;$G8)*(FA8&lt;FC8))+(($E8=$G8)*(FA8=FC8)))-ISBLANK($E8)*(FA8=FC8)+(($E8-$G8)=(FA8-FC8)))))</f>
        <v/>
      </c>
      <c r="FE8" s="37" t="n"/>
      <c r="FF8" s="5" t="n"/>
      <c r="FG8" s="58" t="n"/>
      <c r="FH8" s="58" t="inlineStr">
        <is>
          <t>:</t>
        </is>
      </c>
      <c r="FI8" s="58" t="n"/>
      <c r="FJ8" s="17">
        <f>IF(ISBLANK($E8),"",(IF(ISBLANK(FG8),0,IF((($E8=FG8)*($G8=FI8))*NOT(ISBLANK($E8)),1,0)+((($E8&gt;$G8)*(FG8&gt;FI8))+(($E8&lt;$G8)*(FG8&lt;FI8))+(($E8=$G8)*(FG8=FI8)))-ISBLANK($E8)*(FG8=FI8)+(($E8-$G8)=(FG8-FI8)))))</f>
        <v/>
      </c>
      <c r="FK8" s="37" t="n"/>
      <c r="FL8" s="5" t="n"/>
      <c r="FM8" s="58" t="n"/>
      <c r="FN8" s="58" t="inlineStr">
        <is>
          <t>:</t>
        </is>
      </c>
      <c r="FO8" s="58" t="n"/>
      <c r="FP8" s="17">
        <f>IF(ISBLANK($E8),"",(IF(ISBLANK(FM8),0,IF((($E8=FM8)*($G8=FO8))*NOT(ISBLANK($E8)),1,0)+((($E8&gt;$G8)*(FM8&gt;FO8))+(($E8&lt;$G8)*(FM8&lt;FO8))+(($E8=$G8)*(FM8=FO8)))-ISBLANK($E8)*(FM8=FO8)+(($E8-$G8)=(FM8-FO8)))))</f>
        <v/>
      </c>
      <c r="FQ8" s="37" t="n"/>
      <c r="FR8" s="5" t="n"/>
      <c r="FS8" s="58" t="n"/>
      <c r="FT8" s="58" t="inlineStr">
        <is>
          <t>:</t>
        </is>
      </c>
      <c r="FU8" s="58" t="n"/>
      <c r="FV8" s="17">
        <f>IF(ISBLANK($E8),"",(IF(ISBLANK(FS8),0,IF((($E8=FS8)*($G8=FU8))*NOT(ISBLANK($E8)),1,0)+((($E8&gt;$G8)*(FS8&gt;FU8))+(($E8&lt;$G8)*(FS8&lt;FU8))+(($E8=$G8)*(FS8=FU8)))-ISBLANK($E8)*(FS8=FU8)+(($E8-$G8)=(FS8-FU8)))))</f>
        <v/>
      </c>
      <c r="FW8" s="37" t="n"/>
      <c r="FX8" s="5" t="n"/>
      <c r="FY8" s="58" t="n"/>
      <c r="FZ8" s="58" t="inlineStr">
        <is>
          <t>:</t>
        </is>
      </c>
      <c r="GA8" s="58" t="n"/>
      <c r="GB8" s="17">
        <f>IF(ISBLANK($E8),"",(IF(ISBLANK(FY8),0,IF((($E8=FY8)*($G8=GA8))*NOT(ISBLANK($E8)),1,0)+((($E8&gt;$G8)*(FY8&gt;GA8))+(($E8&lt;$G8)*(FY8&lt;GA8))+(($E8=$G8)*(FY8=GA8)))-ISBLANK($E8)*(FY8=GA8)+(($E8-$G8)=(FY8-GA8)))))</f>
        <v/>
      </c>
      <c r="GC8" s="37" t="n"/>
      <c r="GD8" s="5" t="n"/>
      <c r="GE8" s="58" t="n"/>
      <c r="GF8" s="58" t="inlineStr">
        <is>
          <t>:</t>
        </is>
      </c>
      <c r="GG8" s="58" t="n"/>
      <c r="GH8" s="17">
        <f>IF(ISBLANK($E8),"",(IF(ISBLANK(GE8),0,IF((($E8=GE8)*($G8=GG8))*NOT(ISBLANK($E8)),1,0)+((($E8&gt;$G8)*(GE8&gt;GG8))+(($E8&lt;$G8)*(GE8&lt;GG8))+(($E8=$G8)*(GE8=GG8)))-ISBLANK($E8)*(GE8=GG8)+(($E8-$G8)=(GE8-GG8)))))</f>
        <v/>
      </c>
      <c r="GI8" s="37" t="n"/>
      <c r="GJ8" s="5" t="n"/>
      <c r="GK8" s="58" t="n"/>
      <c r="GL8" s="58" t="inlineStr">
        <is>
          <t>:</t>
        </is>
      </c>
      <c r="GM8" s="58" t="n"/>
      <c r="GN8" s="17">
        <f>IF(ISBLANK($E8),"",(IF(ISBLANK(GK8),0,IF((($E8=GK8)*($G8=GM8))*NOT(ISBLANK($E8)),1,0)+((($E8&gt;$G8)*(GK8&gt;GM8))+(($E8&lt;$G8)*(GK8&lt;GM8))+(($E8=$G8)*(GK8=GM8)))-ISBLANK($E8)*(GK8=GM8)+(($E8-$G8)=(GK8-GM8)))))</f>
        <v/>
      </c>
      <c r="GO8" s="37" t="n"/>
      <c r="GP8" s="5" t="n"/>
      <c r="GQ8" s="58" t="n"/>
      <c r="GR8" s="58" t="inlineStr">
        <is>
          <t>:</t>
        </is>
      </c>
      <c r="GS8" s="58" t="n"/>
      <c r="GT8" s="17">
        <f>IF(ISBLANK($E8),"",(IF(ISBLANK(GQ8),0,IF((($E8=GQ8)*($G8=GS8))*NOT(ISBLANK($E8)),1,0)+((($E8&gt;$G8)*(GQ8&gt;GS8))+(($E8&lt;$G8)*(GQ8&lt;GS8))+(($E8=$G8)*(GQ8=GS8)))-ISBLANK($E8)*(GQ8=GS8)+(($E8-$G8)=(GQ8-GS8)))))</f>
        <v/>
      </c>
      <c r="GU8" s="37" t="n"/>
      <c r="GV8" s="5" t="n"/>
    </row>
    <row r="9" ht="18" customHeight="1">
      <c r="A9" s="62" t="n"/>
      <c r="B9" s="77" t="n"/>
      <c r="C9" s="78" t="inlineStr">
        <is>
          <t>:</t>
        </is>
      </c>
      <c r="D9" s="79" t="n"/>
      <c r="E9" s="54" t="n"/>
      <c r="F9" s="55" t="inlineStr">
        <is>
          <t>:</t>
        </is>
      </c>
      <c r="G9" s="55" t="n"/>
      <c r="I9" s="49">
        <f>COUNTIF(P9,3)+COUNTIF(V9,3)+COUNTIF(AB9,3)+COUNTIF(AH9,3)+COUNTIF(AN9,3)+COUNTIF(AT9,3)+COUNTIF(AZ9,3)+COUNTIF(BF9,3)+COUNTIF(BL9,3)+COUNTIF(BR9,3)+COUNTIF(BX9,3)+COUNTIF(CD9,3)+COUNTIF(CJ9,3)+COUNTIF(CP9,3)+COUNTIF(CV9,3)+COUNTIF(DB9,3)+COUNTIF(DH9,3)+COUNTIF(DN9,3)+COUNTIF(DT9,3)+COUNTIF(DZ9,3)+COUNTIF(EF9,3)+COUNTIF(EL9,3)+COUNTIF(ER9,3)+COUNTIF(EX9,3)+COUNTIF(FD9,3)+COUNTIF(FJ9,3)+COUNTIF(FP9,3)+COUNTIF(FV9,3)+COUNTIF(GB9,3)+COUNTIF(GH9,3)+COUNTIF(GN9,3)+COUNTIF(GT9,3)</f>
        <v/>
      </c>
      <c r="J9" s="49">
        <f>COUNTIF(P9,2)+COUNTIF(V9,2)+COUNTIF(AB9,2)+COUNTIF(AH9,2)+COUNTIF(AN9,2)+COUNTIF(AT9,2)+COUNTIF(AZ9,2)+COUNTIF(BF9,2)+COUNTIF(BL9,2)+COUNTIF(BR9,2)+COUNTIF(BX9,2)+COUNTIF(CD9,2)+COUNTIF(CJ9,2)+COUNTIF(CP9,2)+COUNTIF(CV9,2)+COUNTIF(DB9,2)+COUNTIF(DH9,2)+COUNTIF(DN9,2)+COUNTIF(DT9,2)+COUNTIF(DZ9,2)+COUNTIF(EF9,2)+COUNTIF(EL9,2)+COUNTIF(ER9,2)+COUNTIF(EX9,2)+COUNTIF(FD9,2)+COUNTIF(FJ9,2)+COUNTIF(FP9,2)+COUNTIF(FV9,2)+COUNTIF(GB9,2)+COUNTIF(GH9,2)+COUNTIF(GN9,2)+COUNTIF(GT9,2)</f>
        <v/>
      </c>
      <c r="K9" s="49">
        <f>COUNTIF(P9,1)+COUNTIF(V9,1)+COUNTIF(AB9,1)+COUNTIF(AH9,1)+COUNTIF(AN9,1)+COUNTIF(AT9,1)+COUNTIF(AZ9,1)+COUNTIF(BF9,1)+COUNTIF(BL9,1)+COUNTIF(BR9,1)+COUNTIF(BX9,1)+COUNTIF(CD9,1)+COUNTIF(CJ9,1)+COUNTIF(CP9,1)+COUNTIF(CV9,1)+COUNTIF(DB9,1)+COUNTIF(DH9,1)+COUNTIF(DN9,1)+COUNTIF(DT9,1)+COUNTIF(DZ9,1)+COUNTIF(EF9,1)+COUNTIF(EL9,1)+COUNTIF(ER9,1)+COUNTIF(EX9,1)+COUNTIF(FD9,1)+COUNTIF(FJ9,1)+COUNTIF(FP9,1)+COUNTIF(FV9,1)+COUNTIF(GB9,1)+COUNTIF(GH9,1)+COUNTIF(GN9,1)+COUNTIF(GT9,1)</f>
        <v/>
      </c>
      <c r="L9" s="5" t="n"/>
      <c r="M9" s="58" t="n"/>
      <c r="N9" s="58" t="inlineStr">
        <is>
          <t>:</t>
        </is>
      </c>
      <c r="O9" s="58" t="n"/>
      <c r="P9" s="17">
        <f>IF(ISBLANK($E9),"",(IF(ISBLANK(M9),0,IF((($E9=M9)*($G9=O9))*NOT(ISBLANK($E9)),1,0)+((($E9&gt;$G9)*(M9&gt;O9))+(($E9&lt;$G9)*(M9&lt;O9))+(($E9=$G9)*(M9=O9)))-ISBLANK($E9)*(M9=O9)+(($E9-$G9)=(M9-O9)))))</f>
        <v/>
      </c>
      <c r="Q9" s="35" t="n"/>
      <c r="R9" s="5" t="n"/>
      <c r="S9" s="58" t="n"/>
      <c r="T9" s="58" t="inlineStr">
        <is>
          <t>:</t>
        </is>
      </c>
      <c r="U9" s="58" t="n"/>
      <c r="V9" s="17">
        <f>IF(ISBLANK($E9),"",(IF(ISBLANK(S9),0,IF((($E9=S9)*($G9=U9))*NOT(ISBLANK($E9)),1,0)+((($E9&gt;$G9)*(S9&gt;U9))+(($E9&lt;$G9)*(S9&lt;U9))+(($E9=$G9)*(S9=U9)))-ISBLANK($E9)*(S9=U9)+(($E9-$G9)=(S9-U9)))))</f>
        <v/>
      </c>
      <c r="W9" s="37" t="n"/>
      <c r="X9" s="5" t="n"/>
      <c r="Y9" s="58" t="n"/>
      <c r="Z9" s="58" t="inlineStr">
        <is>
          <t>:</t>
        </is>
      </c>
      <c r="AA9" s="58" t="n"/>
      <c r="AB9" s="17">
        <f>IF(ISBLANK($E9),"",(IF(ISBLANK(Y9),0,IF((($E9=Y9)*($G9=AA9))*NOT(ISBLANK($E9)),1,0)+((($E9&gt;$G9)*(Y9&gt;AA9))+(($E9&lt;$G9)*(Y9&lt;AA9))+(($E9=$G9)*(Y9=AA9)))-ISBLANK($E9)*(Y9=AA9)+(($E9-$G9)=(Y9-AA9)))))</f>
        <v/>
      </c>
      <c r="AC9" s="37" t="n"/>
      <c r="AD9" s="5" t="n"/>
      <c r="AE9" s="58" t="n"/>
      <c r="AF9" s="58" t="inlineStr">
        <is>
          <t>:</t>
        </is>
      </c>
      <c r="AG9" s="58" t="n"/>
      <c r="AH9" s="17">
        <f>IF(ISBLANK($E9),"",(IF(ISBLANK(AE9),0,IF((($E9=AE9)*($G9=AG9))*NOT(ISBLANK($E9)),1,0)+((($E9&gt;$G9)*(AE9&gt;AG9))+(($E9&lt;$G9)*(AE9&lt;AG9))+(($E9=$G9)*(AE9=AG9)))-ISBLANK($E9)*(AE9=AG9)+(($E9-$G9)=(AE9-AG9)))))</f>
        <v/>
      </c>
      <c r="AI9" s="37" t="n"/>
      <c r="AJ9" s="5" t="n"/>
      <c r="AK9" s="58" t="n"/>
      <c r="AL9" s="58" t="inlineStr">
        <is>
          <t>:</t>
        </is>
      </c>
      <c r="AM9" s="58" t="n"/>
      <c r="AN9" s="17">
        <f>IF(ISBLANK($E9),"",(IF(ISBLANK(AK9),0,IF((($E9=AK9)*($G9=AM9))*NOT(ISBLANK($E9)),1,0)+((($E9&gt;$G9)*(AK9&gt;AM9))+(($E9&lt;$G9)*(AK9&lt;AM9))+(($E9=$G9)*(AK9=AM9)))-ISBLANK($E9)*(AK9=AM9)+(($E9-$G9)=(AK9-AM9)))))</f>
        <v/>
      </c>
      <c r="AO9" s="37" t="n"/>
      <c r="AP9" s="5" t="n"/>
      <c r="AQ9" s="58" t="n"/>
      <c r="AR9" s="58" t="inlineStr">
        <is>
          <t>:</t>
        </is>
      </c>
      <c r="AS9" s="58" t="n"/>
      <c r="AT9" s="17">
        <f>IF(ISBLANK($E9),"",(IF(ISBLANK(AQ9),0,IF((($E9=AQ9)*($G9=AS9))*NOT(ISBLANK($E9)),1,0)+((($E9&gt;$G9)*(AQ9&gt;AS9))+(($E9&lt;$G9)*(AQ9&lt;AS9))+(($E9=$G9)*(AQ9=AS9)))-ISBLANK($E9)*(AQ9=AS9)+(($E9-$G9)=(AQ9-AS9)))))</f>
        <v/>
      </c>
      <c r="AU9" s="37" t="n"/>
      <c r="AV9" s="5" t="n"/>
      <c r="AW9" s="58" t="n"/>
      <c r="AX9" s="58" t="inlineStr">
        <is>
          <t>:</t>
        </is>
      </c>
      <c r="AY9" s="58" t="n"/>
      <c r="AZ9" s="17">
        <f>IF(ISBLANK($E9),"",(IF(ISBLANK(AW9),0,IF((($E9=AW9)*($G9=AY9))*NOT(ISBLANK($E9)),1,0)+((($E9&gt;$G9)*(AW9&gt;AY9))+(($E9&lt;$G9)*(AW9&lt;AY9))+(($E9=$G9)*(AW9=AY9)))-ISBLANK($E9)*(AW9=AY9)+(($E9-$G9)=(AW9-AY9)))))</f>
        <v/>
      </c>
      <c r="BA9" s="37" t="n"/>
      <c r="BB9" s="5" t="n"/>
      <c r="BC9" s="58" t="n"/>
      <c r="BD9" s="58" t="inlineStr">
        <is>
          <t>:</t>
        </is>
      </c>
      <c r="BE9" s="58" t="n"/>
      <c r="BF9" s="17">
        <f>IF(ISBLANK($E9),"",(IF(ISBLANK(BC9),0,IF((($E9=BC9)*($G9=BE9))*NOT(ISBLANK($E9)),1,0)+((($E9&gt;$G9)*(BC9&gt;BE9))+(($E9&lt;$G9)*(BC9&lt;BE9))+(($E9=$G9)*(BC9=BE9)))-ISBLANK($E9)*(BC9=BE9)+(($E9-$G9)=(BC9-BE9)))))</f>
        <v/>
      </c>
      <c r="BG9" s="37" t="n"/>
      <c r="BH9" s="5" t="n"/>
      <c r="BI9" s="58" t="n"/>
      <c r="BJ9" s="58" t="inlineStr">
        <is>
          <t>:</t>
        </is>
      </c>
      <c r="BK9" s="58" t="n"/>
      <c r="BL9" s="17">
        <f>IF(ISBLANK($E9),"",(IF(ISBLANK(BI9),0,IF((($E9=BI9)*($G9=BK9))*NOT(ISBLANK($E9)),1,0)+((($E9&gt;$G9)*(BI9&gt;BK9))+(($E9&lt;$G9)*(BI9&lt;BK9))+(($E9=$G9)*(BI9=BK9)))-ISBLANK($E9)*(BI9=BK9)+(($E9-$G9)=(BI9-BK9)))))</f>
        <v/>
      </c>
      <c r="BM9" s="37" t="n"/>
      <c r="BN9" s="5" t="n"/>
      <c r="BO9" s="58" t="n"/>
      <c r="BP9" s="58" t="inlineStr">
        <is>
          <t>:</t>
        </is>
      </c>
      <c r="BQ9" s="58" t="n"/>
      <c r="BR9" s="17">
        <f>IF(ISBLANK($E9),"",(IF(ISBLANK(BO9),0,IF((($E9=BO9)*($G9=BQ9))*NOT(ISBLANK($E9)),1,0)+((($E9&gt;$G9)*(BO9&gt;BQ9))+(($E9&lt;$G9)*(BO9&lt;BQ9))+(($E9=$G9)*(BO9=BQ9)))-ISBLANK($E9)*(BO9=BQ9)+(($E9-$G9)=(BO9-BQ9)))))</f>
        <v/>
      </c>
      <c r="BS9" s="37" t="n"/>
      <c r="BT9" s="5" t="n"/>
      <c r="BU9" s="58" t="n"/>
      <c r="BV9" s="58" t="inlineStr">
        <is>
          <t>:</t>
        </is>
      </c>
      <c r="BW9" s="58" t="n"/>
      <c r="BX9" s="17">
        <f>IF(ISBLANK($E9),"",(IF(ISBLANK(BU9),0,IF((($E9=BU9)*($G9=BW9))*NOT(ISBLANK($E9)),1,0)+((($E9&gt;$G9)*(BU9&gt;BW9))+(($E9&lt;$G9)*(BU9&lt;BW9))+(($E9=$G9)*(BU9=BW9)))-ISBLANK($E9)*(BU9=BW9)+(($E9-$G9)=(BU9-BW9)))))</f>
        <v/>
      </c>
      <c r="BY9" s="37" t="n"/>
      <c r="BZ9" s="5" t="n"/>
      <c r="CA9" s="58" t="n"/>
      <c r="CB9" s="58" t="inlineStr">
        <is>
          <t>:</t>
        </is>
      </c>
      <c r="CC9" s="58" t="n"/>
      <c r="CD9" s="17">
        <f>IF(ISBLANK($E9),"",(IF(ISBLANK(CA9),0,IF((($E9=CA9)*($G9=CC9))*NOT(ISBLANK($E9)),1,0)+((($E9&gt;$G9)*(CA9&gt;CC9))+(($E9&lt;$G9)*(CA9&lt;CC9))+(($E9=$G9)*(CA9=CC9)))-ISBLANK($E9)*(CA9=CC9)+(($E9-$G9)=(CA9-CC9)))))</f>
        <v/>
      </c>
      <c r="CE9" s="37" t="n"/>
      <c r="CF9" s="5" t="n"/>
      <c r="CG9" s="58" t="n"/>
      <c r="CH9" s="58" t="inlineStr">
        <is>
          <t>:</t>
        </is>
      </c>
      <c r="CI9" s="58" t="n"/>
      <c r="CJ9" s="17">
        <f>IF(ISBLANK($E9),"",(IF(ISBLANK(CG9),0,IF((($E9=CG9)*($G9=CI9))*NOT(ISBLANK($E9)),1,0)+((($E9&gt;$G9)*(CG9&gt;CI9))+(($E9&lt;$G9)*(CG9&lt;CI9))+(($E9=$G9)*(CG9=CI9)))-ISBLANK($E9)*(CG9=CI9)+(($E9-$G9)=(CG9-CI9)))))</f>
        <v/>
      </c>
      <c r="CK9" s="37" t="n"/>
      <c r="CL9" s="5" t="n"/>
      <c r="CM9" s="58" t="n"/>
      <c r="CN9" s="58" t="inlineStr">
        <is>
          <t>:</t>
        </is>
      </c>
      <c r="CO9" s="58" t="n"/>
      <c r="CP9" s="17">
        <f>IF(ISBLANK($E9),"",(IF(ISBLANK(CM9),0,IF((($E9=CM9)*($G9=CO9))*NOT(ISBLANK($E9)),1,0)+((($E9&gt;$G9)*(CM9&gt;CO9))+(($E9&lt;$G9)*(CM9&lt;CO9))+(($E9=$G9)*(CM9=CO9)))-ISBLANK($E9)*(CM9=CO9)+(($E9-$G9)=(CM9-CO9)))))</f>
        <v/>
      </c>
      <c r="CQ9" s="37" t="n"/>
      <c r="CR9" s="5" t="n"/>
      <c r="CS9" s="58" t="n"/>
      <c r="CT9" s="58" t="inlineStr">
        <is>
          <t>:</t>
        </is>
      </c>
      <c r="CU9" s="58" t="n"/>
      <c r="CV9" s="17">
        <f>IF(ISBLANK($E9),"",(IF(ISBLANK(CS9),0,IF((($E9=CS9)*($G9=CU9))*NOT(ISBLANK($E9)),1,0)+((($E9&gt;$G9)*(CS9&gt;CU9))+(($E9&lt;$G9)*(CS9&lt;CU9))+(($E9=$G9)*(CS9=CU9)))-ISBLANK($E9)*(CS9=CU9)+(($E9-$G9)=(CS9-CU9)))))</f>
        <v/>
      </c>
      <c r="CW9" s="37" t="n"/>
      <c r="CX9" s="5" t="n"/>
      <c r="CY9" s="58" t="n"/>
      <c r="CZ9" s="58" t="inlineStr">
        <is>
          <t>:</t>
        </is>
      </c>
      <c r="DA9" s="58" t="n"/>
      <c r="DB9" s="17">
        <f>IF(ISBLANK($E9),"",(IF(ISBLANK(CY9),0,IF((($E9=CY9)*($G9=DA9))*NOT(ISBLANK($E9)),1,0)+((($E9&gt;$G9)*(CY9&gt;DA9))+(($E9&lt;$G9)*(CY9&lt;DA9))+(($E9=$G9)*(CY9=DA9)))-ISBLANK($E9)*(CY9=DA9)+(($E9-$G9)=(CY9-DA9)))))</f>
        <v/>
      </c>
      <c r="DC9" s="37" t="n"/>
      <c r="DD9" s="5" t="n"/>
      <c r="DE9" s="58" t="n"/>
      <c r="DF9" s="58" t="inlineStr">
        <is>
          <t>:</t>
        </is>
      </c>
      <c r="DG9" s="58" t="n"/>
      <c r="DH9" s="17">
        <f>IF(ISBLANK($E9),"",(IF(ISBLANK(DE9),0,IF((($E9=DE9)*($G9=DG9))*NOT(ISBLANK($E9)),1,0)+((($E9&gt;$G9)*(DE9&gt;DG9))+(($E9&lt;$G9)*(DE9&lt;DG9))+(($E9=$G9)*(DE9=DG9)))-ISBLANK($E9)*(DE9=DG9)+(($E9-$G9)=(DE9-DG9)))))</f>
        <v/>
      </c>
      <c r="DI9" s="37" t="n"/>
      <c r="DJ9" s="5" t="n"/>
      <c r="DK9" s="58" t="n"/>
      <c r="DL9" s="58" t="inlineStr">
        <is>
          <t>:</t>
        </is>
      </c>
      <c r="DM9" s="58" t="n"/>
      <c r="DN9" s="17">
        <f>IF(ISBLANK($E9),"",(IF(ISBLANK(DK9),0,IF((($E9=DK9)*($G9=DM9))*NOT(ISBLANK($E9)),1,0)+((($E9&gt;$G9)*(DK9&gt;DM9))+(($E9&lt;$G9)*(DK9&lt;DM9))+(($E9=$G9)*(DK9=DM9)))-ISBLANK($E9)*(DK9=DM9)+(($E9-$G9)=(DK9-DM9)))))</f>
        <v/>
      </c>
      <c r="DO9" s="37" t="n"/>
      <c r="DP9" s="5" t="n"/>
      <c r="DQ9" s="58" t="n"/>
      <c r="DR9" s="58" t="inlineStr">
        <is>
          <t>:</t>
        </is>
      </c>
      <c r="DS9" s="58" t="n"/>
      <c r="DT9" s="17">
        <f>IF(ISBLANK($E9),"",(IF(ISBLANK(DQ9),0,IF((($E9=DQ9)*($G9=DS9))*NOT(ISBLANK($E9)),1,0)+((($E9&gt;$G9)*(DQ9&gt;DS9))+(($E9&lt;$G9)*(DQ9&lt;DS9))+(($E9=$G9)*(DQ9=DS9)))-ISBLANK($E9)*(DQ9=DS9)+(($E9-$G9)=(DQ9-DS9)))))</f>
        <v/>
      </c>
      <c r="DU9" s="37" t="n"/>
      <c r="DV9" s="5" t="n"/>
      <c r="DW9" s="58" t="n"/>
      <c r="DX9" s="58" t="inlineStr">
        <is>
          <t>:</t>
        </is>
      </c>
      <c r="DY9" s="58" t="n"/>
      <c r="DZ9" s="17">
        <f>IF(ISBLANK($E9),"",(IF(ISBLANK(DW9),0,IF((($E9=DW9)*($G9=DY9))*NOT(ISBLANK($E9)),1,0)+((($E9&gt;$G9)*(DW9&gt;DY9))+(($E9&lt;$G9)*(DW9&lt;DY9))+(($E9=$G9)*(DW9=DY9)))-ISBLANK($E9)*(DW9=DY9)+(($E9-$G9)=(DW9-DY9)))))</f>
        <v/>
      </c>
      <c r="EA9" s="37" t="n"/>
      <c r="EB9" s="5" t="n"/>
      <c r="EC9" s="58" t="n"/>
      <c r="ED9" s="58" t="inlineStr">
        <is>
          <t>:</t>
        </is>
      </c>
      <c r="EE9" s="58" t="n"/>
      <c r="EF9" s="17">
        <f>IF(ISBLANK($E9),"",(IF(ISBLANK(EC9),0,IF((($E9=EC9)*($G9=EE9))*NOT(ISBLANK($E9)),1,0)+((($E9&gt;$G9)*(EC9&gt;EE9))+(($E9&lt;$G9)*(EC9&lt;EE9))+(($E9=$G9)*(EC9=EE9)))-ISBLANK($E9)*(EC9=EE9)+(($E9-$G9)=(EC9-EE9)))))</f>
        <v/>
      </c>
      <c r="EG9" s="37" t="n"/>
      <c r="EH9" s="5" t="n"/>
      <c r="EI9" s="58" t="n"/>
      <c r="EJ9" s="58" t="inlineStr">
        <is>
          <t>:</t>
        </is>
      </c>
      <c r="EK9" s="58" t="n"/>
      <c r="EL9" s="17">
        <f>IF(ISBLANK($E9),"",(IF(ISBLANK(EI9),0,IF((($E9=EI9)*($G9=EK9))*NOT(ISBLANK($E9)),1,0)+((($E9&gt;$G9)*(EI9&gt;EK9))+(($E9&lt;$G9)*(EI9&lt;EK9))+(($E9=$G9)*(EI9=EK9)))-ISBLANK($E9)*(EI9=EK9)+(($E9-$G9)=(EI9-EK9)))))</f>
        <v/>
      </c>
      <c r="EM9" s="37" t="n"/>
      <c r="EN9" s="5" t="n"/>
      <c r="EO9" s="58" t="n"/>
      <c r="EP9" s="91" t="inlineStr">
        <is>
          <t>:</t>
        </is>
      </c>
      <c r="EQ9" s="58" t="n"/>
      <c r="ER9" s="17">
        <f>IF(ISBLANK($E9),"",(IF(ISBLANK(EO9),0,IF((($E9=EO9)*($G9=EQ9))*NOT(ISBLANK($E9)),1,0)+((($E9&gt;$G9)*(EO9&gt;EQ9))+(($E9&lt;$G9)*(EO9&lt;EQ9))+(($E9=$G9)*(EO9=EQ9)))-ISBLANK($E9)*(EO9=EQ9)+(($E9-$G9)=(EO9-EQ9)))))</f>
        <v/>
      </c>
      <c r="ES9" s="37" t="n"/>
      <c r="ET9" s="5" t="n"/>
      <c r="EU9" s="58" t="n"/>
      <c r="EV9" s="58" t="inlineStr">
        <is>
          <t>:</t>
        </is>
      </c>
      <c r="EW9" s="58" t="n"/>
      <c r="EX9" s="17">
        <f>IF(ISBLANK($E9),"",(IF(ISBLANK(EU9),0,IF((($E9=EU9)*($G9=EW9))*NOT(ISBLANK($E9)),1,0)+((($E9&gt;$G9)*(EU9&gt;EW9))+(($E9&lt;$G9)*(EU9&lt;EW9))+(($E9=$G9)*(EU9=EW9)))-ISBLANK($E9)*(EU9=EW9)+(($E9-$G9)=(EU9-EW9)))))</f>
        <v/>
      </c>
      <c r="EY9" s="37" t="n"/>
      <c r="EZ9" s="5" t="n"/>
      <c r="FA9" s="58" t="n"/>
      <c r="FB9" s="58" t="inlineStr">
        <is>
          <t>:</t>
        </is>
      </c>
      <c r="FC9" s="58" t="n"/>
      <c r="FD9" s="17">
        <f>IF(ISBLANK($E9),"",(IF(ISBLANK(FA9),0,IF((($E9=FA9)*($G9=FC9))*NOT(ISBLANK($E9)),1,0)+((($E9&gt;$G9)*(FA9&gt;FC9))+(($E9&lt;$G9)*(FA9&lt;FC9))+(($E9=$G9)*(FA9=FC9)))-ISBLANK($E9)*(FA9=FC9)+(($E9-$G9)=(FA9-FC9)))))</f>
        <v/>
      </c>
      <c r="FE9" s="37" t="n"/>
      <c r="FF9" s="5" t="n"/>
      <c r="FG9" s="58" t="n"/>
      <c r="FH9" s="58" t="inlineStr">
        <is>
          <t>:</t>
        </is>
      </c>
      <c r="FI9" s="58" t="n"/>
      <c r="FJ9" s="17">
        <f>IF(ISBLANK($E9),"",(IF(ISBLANK(FG9),0,IF((($E9=FG9)*($G9=FI9))*NOT(ISBLANK($E9)),1,0)+((($E9&gt;$G9)*(FG9&gt;FI9))+(($E9&lt;$G9)*(FG9&lt;FI9))+(($E9=$G9)*(FG9=FI9)))-ISBLANK($E9)*(FG9=FI9)+(($E9-$G9)=(FG9-FI9)))))</f>
        <v/>
      </c>
      <c r="FK9" s="37" t="n"/>
      <c r="FL9" s="5" t="n"/>
      <c r="FM9" s="58" t="n"/>
      <c r="FN9" s="58" t="inlineStr">
        <is>
          <t>:</t>
        </is>
      </c>
      <c r="FO9" s="58" t="n"/>
      <c r="FP9" s="17">
        <f>IF(ISBLANK($E9),"",(IF(ISBLANK(FM9),0,IF((($E9=FM9)*($G9=FO9))*NOT(ISBLANK($E9)),1,0)+((($E9&gt;$G9)*(FM9&gt;FO9))+(($E9&lt;$G9)*(FM9&lt;FO9))+(($E9=$G9)*(FM9=FO9)))-ISBLANK($E9)*(FM9=FO9)+(($E9-$G9)=(FM9-FO9)))))</f>
        <v/>
      </c>
      <c r="FQ9" s="37" t="n"/>
      <c r="FR9" s="5" t="n"/>
      <c r="FS9" s="58" t="n"/>
      <c r="FT9" s="58" t="inlineStr">
        <is>
          <t>:</t>
        </is>
      </c>
      <c r="FU9" s="58" t="n"/>
      <c r="FV9" s="17">
        <f>IF(ISBLANK($E9),"",(IF(ISBLANK(FS9),0,IF((($E9=FS9)*($G9=FU9))*NOT(ISBLANK($E9)),1,0)+((($E9&gt;$G9)*(FS9&gt;FU9))+(($E9&lt;$G9)*(FS9&lt;FU9))+(($E9=$G9)*(FS9=FU9)))-ISBLANK($E9)*(FS9=FU9)+(($E9-$G9)=(FS9-FU9)))))</f>
        <v/>
      </c>
      <c r="FW9" s="37" t="n"/>
      <c r="FX9" s="5" t="n"/>
      <c r="FY9" s="58" t="n"/>
      <c r="FZ9" s="58" t="inlineStr">
        <is>
          <t>:</t>
        </is>
      </c>
      <c r="GA9" s="58" t="n"/>
      <c r="GB9" s="17">
        <f>IF(ISBLANK($E9),"",(IF(ISBLANK(FY9),0,IF((($E9=FY9)*($G9=GA9))*NOT(ISBLANK($E9)),1,0)+((($E9&gt;$G9)*(FY9&gt;GA9))+(($E9&lt;$G9)*(FY9&lt;GA9))+(($E9=$G9)*(FY9=GA9)))-ISBLANK($E9)*(FY9=GA9)+(($E9-$G9)=(FY9-GA9)))))</f>
        <v/>
      </c>
      <c r="GC9" s="37" t="n"/>
      <c r="GD9" s="5" t="n"/>
      <c r="GE9" s="58" t="n"/>
      <c r="GF9" s="58" t="inlineStr">
        <is>
          <t>:</t>
        </is>
      </c>
      <c r="GG9" s="58" t="n"/>
      <c r="GH9" s="17">
        <f>IF(ISBLANK($E9),"",(IF(ISBLANK(GE9),0,IF((($E9=GE9)*($G9=GG9))*NOT(ISBLANK($E9)),1,0)+((($E9&gt;$G9)*(GE9&gt;GG9))+(($E9&lt;$G9)*(GE9&lt;GG9))+(($E9=$G9)*(GE9=GG9)))-ISBLANK($E9)*(GE9=GG9)+(($E9-$G9)=(GE9-GG9)))))</f>
        <v/>
      </c>
      <c r="GI9" s="37" t="n"/>
      <c r="GJ9" s="5" t="n"/>
      <c r="GK9" s="58" t="n"/>
      <c r="GL9" s="58" t="inlineStr">
        <is>
          <t>:</t>
        </is>
      </c>
      <c r="GM9" s="58" t="n"/>
      <c r="GN9" s="17">
        <f>IF(ISBLANK($E9),"",(IF(ISBLANK(GK9),0,IF((($E9=GK9)*($G9=GM9))*NOT(ISBLANK($E9)),1,0)+((($E9&gt;$G9)*(GK9&gt;GM9))+(($E9&lt;$G9)*(GK9&lt;GM9))+(($E9=$G9)*(GK9=GM9)))-ISBLANK($E9)*(GK9=GM9)+(($E9-$G9)=(GK9-GM9)))))</f>
        <v/>
      </c>
      <c r="GO9" s="37" t="n"/>
      <c r="GP9" s="5" t="n"/>
      <c r="GQ9" s="58" t="n"/>
      <c r="GR9" s="58" t="inlineStr">
        <is>
          <t>:</t>
        </is>
      </c>
      <c r="GS9" s="58" t="n"/>
      <c r="GT9" s="17">
        <f>IF(ISBLANK($E9),"",(IF(ISBLANK(GQ9),0,IF((($E9=GQ9)*($G9=GS9))*NOT(ISBLANK($E9)),1,0)+((($E9&gt;$G9)*(GQ9&gt;GS9))+(($E9&lt;$G9)*(GQ9&lt;GS9))+(($E9=$G9)*(GQ9=GS9)))-ISBLANK($E9)*(GQ9=GS9)+(($E9-$G9)=(GQ9-GS9)))))</f>
        <v/>
      </c>
      <c r="GU9" s="37" t="n"/>
      <c r="GV9" s="5" t="n"/>
    </row>
    <row r="10" ht="18" customHeight="1">
      <c r="A10" s="62" t="n"/>
      <c r="B10" s="77" t="n"/>
      <c r="C10" s="78" t="inlineStr">
        <is>
          <t>:</t>
        </is>
      </c>
      <c r="D10" s="79" t="n"/>
      <c r="E10" s="54" t="n"/>
      <c r="F10" s="55" t="inlineStr">
        <is>
          <t>:</t>
        </is>
      </c>
      <c r="G10" s="55" t="n"/>
      <c r="I10" s="49">
        <f>COUNTIF(P10,3)+COUNTIF(V10,3)+COUNTIF(AB10,3)+COUNTIF(AH10,3)+COUNTIF(AN10,3)+COUNTIF(AT10,3)+COUNTIF(AZ10,3)+COUNTIF(BF10,3)+COUNTIF(BL10,3)+COUNTIF(BR10,3)+COUNTIF(BX10,3)+COUNTIF(CD10,3)+COUNTIF(CJ10,3)+COUNTIF(CP10,3)+COUNTIF(CV10,3)+COUNTIF(DB10,3)+COUNTIF(DH10,3)+COUNTIF(DN10,3)+COUNTIF(DT10,3)+COUNTIF(DZ10,3)+COUNTIF(EF10,3)+COUNTIF(EL10,3)+COUNTIF(ER10,3)+COUNTIF(EX10,3)+COUNTIF(FD10,3)+COUNTIF(FJ10,3)+COUNTIF(FP10,3)+COUNTIF(FV10,3)+COUNTIF(GB10,3)+COUNTIF(GH10,3)+COUNTIF(GN10,3)+COUNTIF(GT10,3)</f>
        <v/>
      </c>
      <c r="J10" s="49">
        <f>COUNTIF(P10,2)+COUNTIF(V10,2)+COUNTIF(AB10,2)+COUNTIF(AH10,2)+COUNTIF(AN10,2)+COUNTIF(AT10,2)+COUNTIF(AZ10,2)+COUNTIF(BF10,2)+COUNTIF(BL10,2)+COUNTIF(BR10,2)+COUNTIF(BX10,2)+COUNTIF(CD10,2)+COUNTIF(CJ10,2)+COUNTIF(CP10,2)+COUNTIF(CV10,2)+COUNTIF(DB10,2)+COUNTIF(DH10,2)+COUNTIF(DN10,2)+COUNTIF(DT10,2)+COUNTIF(DZ10,2)+COUNTIF(EF10,2)+COUNTIF(EL10,2)+COUNTIF(ER10,2)+COUNTIF(EX10,2)+COUNTIF(FD10,2)+COUNTIF(FJ10,2)+COUNTIF(FP10,2)+COUNTIF(FV10,2)+COUNTIF(GB10,2)+COUNTIF(GH10,2)+COUNTIF(GN10,2)+COUNTIF(GT10,2)</f>
        <v/>
      </c>
      <c r="K10" s="49">
        <f>COUNTIF(P10,1)+COUNTIF(V10,1)+COUNTIF(AB10,1)+COUNTIF(AH10,1)+COUNTIF(AN10,1)+COUNTIF(AT10,1)+COUNTIF(AZ10,1)+COUNTIF(BF10,1)+COUNTIF(BL10,1)+COUNTIF(BR10,1)+COUNTIF(BX10,1)+COUNTIF(CD10,1)+COUNTIF(CJ10,1)+COUNTIF(CP10,1)+COUNTIF(CV10,1)+COUNTIF(DB10,1)+COUNTIF(DH10,1)+COUNTIF(DN10,1)+COUNTIF(DT10,1)+COUNTIF(DZ10,1)+COUNTIF(EF10,1)+COUNTIF(EL10,1)+COUNTIF(ER10,1)+COUNTIF(EX10,1)+COUNTIF(FD10,1)+COUNTIF(FJ10,1)+COUNTIF(FP10,1)+COUNTIF(FV10,1)+COUNTIF(GB10,1)+COUNTIF(GH10,1)+COUNTIF(GN10,1)+COUNTIF(GT10,1)</f>
        <v/>
      </c>
      <c r="L10" s="5" t="n"/>
      <c r="M10" s="58" t="n"/>
      <c r="N10" s="58" t="inlineStr">
        <is>
          <t>:</t>
        </is>
      </c>
      <c r="O10" s="58" t="n"/>
      <c r="P10" s="17">
        <f>IF(ISBLANK($E10),"",(IF(ISBLANK(M10),0,IF((($E10=M10)*($G10=O10))*NOT(ISBLANK($E10)),1,0)+((($E10&gt;$G10)*(M10&gt;O10))+(($E10&lt;$G10)*(M10&lt;O10))+(($E10=$G10)*(M10=O10)))-ISBLANK($E10)*(M10=O10)+(($E10-$G10)=(M10-O10)))))</f>
        <v/>
      </c>
      <c r="Q10" s="35" t="n"/>
      <c r="R10" s="5" t="n"/>
      <c r="S10" s="58" t="n"/>
      <c r="T10" s="58" t="inlineStr">
        <is>
          <t>:</t>
        </is>
      </c>
      <c r="U10" s="58" t="n"/>
      <c r="V10" s="17">
        <f>IF(ISBLANK($E10),"",(IF(ISBLANK(S10),0,IF((($E10=S10)*($G10=U10))*NOT(ISBLANK($E10)),1,0)+((($E10&gt;$G10)*(S10&gt;U10))+(($E10&lt;$G10)*(S10&lt;U10))+(($E10=$G10)*(S10=U10)))-ISBLANK($E10)*(S10=U10)+(($E10-$G10)=(S10-U10)))))</f>
        <v/>
      </c>
      <c r="W10" s="37" t="n"/>
      <c r="X10" s="5" t="n"/>
      <c r="Y10" s="58" t="n"/>
      <c r="Z10" s="58" t="inlineStr">
        <is>
          <t>:</t>
        </is>
      </c>
      <c r="AA10" s="58" t="n"/>
      <c r="AB10" s="17">
        <f>IF(ISBLANK($E10),"",(IF(ISBLANK(Y10),0,IF((($E10=Y10)*($G10=AA10))*NOT(ISBLANK($E10)),1,0)+((($E10&gt;$G10)*(Y10&gt;AA10))+(($E10&lt;$G10)*(Y10&lt;AA10))+(($E10=$G10)*(Y10=AA10)))-ISBLANK($E10)*(Y10=AA10)+(($E10-$G10)=(Y10-AA10)))))</f>
        <v/>
      </c>
      <c r="AC10" s="37" t="n"/>
      <c r="AD10" s="5" t="n"/>
      <c r="AE10" s="58" t="n"/>
      <c r="AF10" s="58" t="inlineStr">
        <is>
          <t>:</t>
        </is>
      </c>
      <c r="AG10" s="58" t="n"/>
      <c r="AH10" s="17">
        <f>IF(ISBLANK($E10),"",(IF(ISBLANK(AE10),0,IF((($E10=AE10)*($G10=AG10))*NOT(ISBLANK($E10)),1,0)+((($E10&gt;$G10)*(AE10&gt;AG10))+(($E10&lt;$G10)*(AE10&lt;AG10))+(($E10=$G10)*(AE10=AG10)))-ISBLANK($E10)*(AE10=AG10)+(($E10-$G10)=(AE10-AG10)))))</f>
        <v/>
      </c>
      <c r="AI10" s="37" t="n"/>
      <c r="AJ10" s="5" t="n"/>
      <c r="AK10" s="58" t="n"/>
      <c r="AL10" s="58" t="inlineStr">
        <is>
          <t>:</t>
        </is>
      </c>
      <c r="AM10" s="58" t="n"/>
      <c r="AN10" s="17">
        <f>IF(ISBLANK($E10),"",(IF(ISBLANK(AK10),0,IF((($E10=AK10)*($G10=AM10))*NOT(ISBLANK($E10)),1,0)+((($E10&gt;$G10)*(AK10&gt;AM10))+(($E10&lt;$G10)*(AK10&lt;AM10))+(($E10=$G10)*(AK10=AM10)))-ISBLANK($E10)*(AK10=AM10)+(($E10-$G10)=(AK10-AM10)))))</f>
        <v/>
      </c>
      <c r="AO10" s="37" t="n"/>
      <c r="AP10" s="5" t="n"/>
      <c r="AQ10" s="58" t="n"/>
      <c r="AR10" s="58" t="inlineStr">
        <is>
          <t>:</t>
        </is>
      </c>
      <c r="AS10" s="58" t="n"/>
      <c r="AT10" s="17">
        <f>IF(ISBLANK($E10),"",(IF(ISBLANK(AQ10),0,IF((($E10=AQ10)*($G10=AS10))*NOT(ISBLANK($E10)),1,0)+((($E10&gt;$G10)*(AQ10&gt;AS10))+(($E10&lt;$G10)*(AQ10&lt;AS10))+(($E10=$G10)*(AQ10=AS10)))-ISBLANK($E10)*(AQ10=AS10)+(($E10-$G10)=(AQ10-AS10)))))</f>
        <v/>
      </c>
      <c r="AU10" s="37" t="n"/>
      <c r="AV10" s="5" t="n"/>
      <c r="AW10" s="58" t="n"/>
      <c r="AX10" s="58" t="inlineStr">
        <is>
          <t>:</t>
        </is>
      </c>
      <c r="AY10" s="58" t="n"/>
      <c r="AZ10" s="17">
        <f>IF(ISBLANK($E10),"",(IF(ISBLANK(AW10),0,IF((($E10=AW10)*($G10=AY10))*NOT(ISBLANK($E10)),1,0)+((($E10&gt;$G10)*(AW10&gt;AY10))+(($E10&lt;$G10)*(AW10&lt;AY10))+(($E10=$G10)*(AW10=AY10)))-ISBLANK($E10)*(AW10=AY10)+(($E10-$G10)=(AW10-AY10)))))</f>
        <v/>
      </c>
      <c r="BA10" s="37" t="n"/>
      <c r="BB10" s="5" t="n"/>
      <c r="BC10" s="58" t="n"/>
      <c r="BD10" s="58" t="inlineStr">
        <is>
          <t>:</t>
        </is>
      </c>
      <c r="BE10" s="58" t="n"/>
      <c r="BF10" s="17">
        <f>IF(ISBLANK($E10),"",(IF(ISBLANK(BC10),0,IF((($E10=BC10)*($G10=BE10))*NOT(ISBLANK($E10)),1,0)+((($E10&gt;$G10)*(BC10&gt;BE10))+(($E10&lt;$G10)*(BC10&lt;BE10))+(($E10=$G10)*(BC10=BE10)))-ISBLANK($E10)*(BC10=BE10)+(($E10-$G10)=(BC10-BE10)))))</f>
        <v/>
      </c>
      <c r="BG10" s="37" t="n"/>
      <c r="BH10" s="5" t="n"/>
      <c r="BI10" s="58" t="n"/>
      <c r="BJ10" s="58" t="inlineStr">
        <is>
          <t>:</t>
        </is>
      </c>
      <c r="BK10" s="58" t="n"/>
      <c r="BL10" s="17">
        <f>IF(ISBLANK($E10),"",(IF(ISBLANK(BI10),0,IF((($E10=BI10)*($G10=BK10))*NOT(ISBLANK($E10)),1,0)+((($E10&gt;$G10)*(BI10&gt;BK10))+(($E10&lt;$G10)*(BI10&lt;BK10))+(($E10=$G10)*(BI10=BK10)))-ISBLANK($E10)*(BI10=BK10)+(($E10-$G10)=(BI10-BK10)))))</f>
        <v/>
      </c>
      <c r="BM10" s="37" t="n"/>
      <c r="BN10" s="5" t="n"/>
      <c r="BO10" s="58" t="n"/>
      <c r="BP10" s="58" t="inlineStr">
        <is>
          <t>:</t>
        </is>
      </c>
      <c r="BQ10" s="58" t="n"/>
      <c r="BR10" s="17">
        <f>IF(ISBLANK($E10),"",(IF(ISBLANK(BO10),0,IF((($E10=BO10)*($G10=BQ10))*NOT(ISBLANK($E10)),1,0)+((($E10&gt;$G10)*(BO10&gt;BQ10))+(($E10&lt;$G10)*(BO10&lt;BQ10))+(($E10=$G10)*(BO10=BQ10)))-ISBLANK($E10)*(BO10=BQ10)+(($E10-$G10)=(BO10-BQ10)))))</f>
        <v/>
      </c>
      <c r="BS10" s="37" t="n"/>
      <c r="BT10" s="5" t="n"/>
      <c r="BU10" s="58" t="n"/>
      <c r="BV10" s="58" t="inlineStr">
        <is>
          <t>:</t>
        </is>
      </c>
      <c r="BW10" s="58" t="n"/>
      <c r="BX10" s="17">
        <f>IF(ISBLANK($E10),"",(IF(ISBLANK(BU10),0,IF((($E10=BU10)*($G10=BW10))*NOT(ISBLANK($E10)),1,0)+((($E10&gt;$G10)*(BU10&gt;BW10))+(($E10&lt;$G10)*(BU10&lt;BW10))+(($E10=$G10)*(BU10=BW10)))-ISBLANK($E10)*(BU10=BW10)+(($E10-$G10)=(BU10-BW10)))))</f>
        <v/>
      </c>
      <c r="BY10" s="37" t="n"/>
      <c r="BZ10" s="5" t="n"/>
      <c r="CA10" s="58" t="n"/>
      <c r="CB10" s="58" t="inlineStr">
        <is>
          <t>:</t>
        </is>
      </c>
      <c r="CC10" s="58" t="n"/>
      <c r="CD10" s="17">
        <f>IF(ISBLANK($E10),"",(IF(ISBLANK(CA10),0,IF((($E10=CA10)*($G10=CC10))*NOT(ISBLANK($E10)),1,0)+((($E10&gt;$G10)*(CA10&gt;CC10))+(($E10&lt;$G10)*(CA10&lt;CC10))+(($E10=$G10)*(CA10=CC10)))-ISBLANK($E10)*(CA10=CC10)+(($E10-$G10)=(CA10-CC10)))))</f>
        <v/>
      </c>
      <c r="CE10" s="37" t="n"/>
      <c r="CF10" s="5" t="n"/>
      <c r="CG10" s="58" t="n"/>
      <c r="CH10" s="58" t="inlineStr">
        <is>
          <t>:</t>
        </is>
      </c>
      <c r="CI10" s="58" t="n"/>
      <c r="CJ10" s="17">
        <f>IF(ISBLANK($E10),"",(IF(ISBLANK(CG10),0,IF((($E10=CG10)*($G10=CI10))*NOT(ISBLANK($E10)),1,0)+((($E10&gt;$G10)*(CG10&gt;CI10))+(($E10&lt;$G10)*(CG10&lt;CI10))+(($E10=$G10)*(CG10=CI10)))-ISBLANK($E10)*(CG10=CI10)+(($E10-$G10)=(CG10-CI10)))))</f>
        <v/>
      </c>
      <c r="CK10" s="37" t="n"/>
      <c r="CL10" s="5" t="n"/>
      <c r="CM10" s="58" t="n"/>
      <c r="CN10" s="58" t="inlineStr">
        <is>
          <t>:</t>
        </is>
      </c>
      <c r="CO10" s="58" t="n"/>
      <c r="CP10" s="17">
        <f>IF(ISBLANK($E10),"",(IF(ISBLANK(CM10),0,IF((($E10=CM10)*($G10=CO10))*NOT(ISBLANK($E10)),1,0)+((($E10&gt;$G10)*(CM10&gt;CO10))+(($E10&lt;$G10)*(CM10&lt;CO10))+(($E10=$G10)*(CM10=CO10)))-ISBLANK($E10)*(CM10=CO10)+(($E10-$G10)=(CM10-CO10)))))</f>
        <v/>
      </c>
      <c r="CQ10" s="37" t="n"/>
      <c r="CR10" s="5" t="n"/>
      <c r="CS10" s="58" t="n"/>
      <c r="CT10" s="58" t="inlineStr">
        <is>
          <t>:</t>
        </is>
      </c>
      <c r="CU10" s="58" t="n"/>
      <c r="CV10" s="17">
        <f>IF(ISBLANK($E10),"",(IF(ISBLANK(CS10),0,IF((($E10=CS10)*($G10=CU10))*NOT(ISBLANK($E10)),1,0)+((($E10&gt;$G10)*(CS10&gt;CU10))+(($E10&lt;$G10)*(CS10&lt;CU10))+(($E10=$G10)*(CS10=CU10)))-ISBLANK($E10)*(CS10=CU10)+(($E10-$G10)=(CS10-CU10)))))</f>
        <v/>
      </c>
      <c r="CW10" s="37" t="n"/>
      <c r="CX10" s="5" t="n"/>
      <c r="CY10" s="58" t="n"/>
      <c r="CZ10" s="58" t="inlineStr">
        <is>
          <t>:</t>
        </is>
      </c>
      <c r="DA10" s="58" t="n"/>
      <c r="DB10" s="17">
        <f>IF(ISBLANK($E10),"",(IF(ISBLANK(CY10),0,IF((($E10=CY10)*($G10=DA10))*NOT(ISBLANK($E10)),1,0)+((($E10&gt;$G10)*(CY10&gt;DA10))+(($E10&lt;$G10)*(CY10&lt;DA10))+(($E10=$G10)*(CY10=DA10)))-ISBLANK($E10)*(CY10=DA10)+(($E10-$G10)=(CY10-DA10)))))</f>
        <v/>
      </c>
      <c r="DC10" s="37" t="n"/>
      <c r="DD10" s="5" t="n"/>
      <c r="DE10" s="58" t="n"/>
      <c r="DF10" s="58" t="inlineStr">
        <is>
          <t>:</t>
        </is>
      </c>
      <c r="DG10" s="58" t="n"/>
      <c r="DH10" s="17">
        <f>IF(ISBLANK($E10),"",(IF(ISBLANK(DE10),0,IF((($E10=DE10)*($G10=DG10))*NOT(ISBLANK($E10)),1,0)+((($E10&gt;$G10)*(DE10&gt;DG10))+(($E10&lt;$G10)*(DE10&lt;DG10))+(($E10=$G10)*(DE10=DG10)))-ISBLANK($E10)*(DE10=DG10)+(($E10-$G10)=(DE10-DG10)))))</f>
        <v/>
      </c>
      <c r="DI10" s="37" t="n"/>
      <c r="DJ10" s="5" t="n"/>
      <c r="DK10" s="58" t="n"/>
      <c r="DL10" s="58" t="inlineStr">
        <is>
          <t>:</t>
        </is>
      </c>
      <c r="DM10" s="58" t="n"/>
      <c r="DN10" s="17">
        <f>IF(ISBLANK($E10),"",(IF(ISBLANK(DK10),0,IF((($E10=DK10)*($G10=DM10))*NOT(ISBLANK($E10)),1,0)+((($E10&gt;$G10)*(DK10&gt;DM10))+(($E10&lt;$G10)*(DK10&lt;DM10))+(($E10=$G10)*(DK10=DM10)))-ISBLANK($E10)*(DK10=DM10)+(($E10-$G10)=(DK10-DM10)))))</f>
        <v/>
      </c>
      <c r="DO10" s="37" t="n"/>
      <c r="DP10" s="5" t="n"/>
      <c r="DQ10" s="58" t="n"/>
      <c r="DR10" s="58" t="inlineStr">
        <is>
          <t>:</t>
        </is>
      </c>
      <c r="DS10" s="58" t="n"/>
      <c r="DT10" s="17">
        <f>IF(ISBLANK($E10),"",(IF(ISBLANK(DQ10),0,IF((($E10=DQ10)*($G10=DS10))*NOT(ISBLANK($E10)),1,0)+((($E10&gt;$G10)*(DQ10&gt;DS10))+(($E10&lt;$G10)*(DQ10&lt;DS10))+(($E10=$G10)*(DQ10=DS10)))-ISBLANK($E10)*(DQ10=DS10)+(($E10-$G10)=(DQ10-DS10)))))</f>
        <v/>
      </c>
      <c r="DU10" s="37" t="n"/>
      <c r="DV10" s="5" t="n"/>
      <c r="DW10" s="58" t="n"/>
      <c r="DX10" s="58" t="inlineStr">
        <is>
          <t>:</t>
        </is>
      </c>
      <c r="DY10" s="58" t="n"/>
      <c r="DZ10" s="17">
        <f>IF(ISBLANK($E10),"",(IF(ISBLANK(DW10),0,IF((($E10=DW10)*($G10=DY10))*NOT(ISBLANK($E10)),1,0)+((($E10&gt;$G10)*(DW10&gt;DY10))+(($E10&lt;$G10)*(DW10&lt;DY10))+(($E10=$G10)*(DW10=DY10)))-ISBLANK($E10)*(DW10=DY10)+(($E10-$G10)=(DW10-DY10)))))</f>
        <v/>
      </c>
      <c r="EA10" s="37" t="n"/>
      <c r="EB10" s="5" t="n"/>
      <c r="EC10" s="58" t="n"/>
      <c r="ED10" s="58" t="inlineStr">
        <is>
          <t>:</t>
        </is>
      </c>
      <c r="EE10" s="58" t="n"/>
      <c r="EF10" s="17">
        <f>IF(ISBLANK($E10),"",(IF(ISBLANK(EC10),0,IF((($E10=EC10)*($G10=EE10))*NOT(ISBLANK($E10)),1,0)+((($E10&gt;$G10)*(EC10&gt;EE10))+(($E10&lt;$G10)*(EC10&lt;EE10))+(($E10=$G10)*(EC10=EE10)))-ISBLANK($E10)*(EC10=EE10)+(($E10-$G10)=(EC10-EE10)))))</f>
        <v/>
      </c>
      <c r="EG10" s="37" t="n"/>
      <c r="EH10" s="5" t="n"/>
      <c r="EI10" s="58" t="n"/>
      <c r="EJ10" s="58" t="inlineStr">
        <is>
          <t>:</t>
        </is>
      </c>
      <c r="EK10" s="58" t="n"/>
      <c r="EL10" s="17">
        <f>IF(ISBLANK($E10),"",(IF(ISBLANK(EI10),0,IF((($E10=EI10)*($G10=EK10))*NOT(ISBLANK($E10)),1,0)+((($E10&gt;$G10)*(EI10&gt;EK10))+(($E10&lt;$G10)*(EI10&lt;EK10))+(($E10=$G10)*(EI10=EK10)))-ISBLANK($E10)*(EI10=EK10)+(($E10-$G10)=(EI10-EK10)))))</f>
        <v/>
      </c>
      <c r="EM10" s="37" t="n"/>
      <c r="EN10" s="5" t="n"/>
      <c r="EO10" s="58" t="n"/>
      <c r="EP10" s="58" t="inlineStr">
        <is>
          <t>:</t>
        </is>
      </c>
      <c r="EQ10" s="58" t="n"/>
      <c r="ER10" s="17">
        <f>IF(ISBLANK($E10),"",(IF(ISBLANK(EO10),0,IF((($E10=EO10)*($G10=EQ10))*NOT(ISBLANK($E10)),1,0)+((($E10&gt;$G10)*(EO10&gt;EQ10))+(($E10&lt;$G10)*(EO10&lt;EQ10))+(($E10=$G10)*(EO10=EQ10)))-ISBLANK($E10)*(EO10=EQ10)+(($E10-$G10)=(EO10-EQ10)))))</f>
        <v/>
      </c>
      <c r="ES10" s="37" t="n"/>
      <c r="ET10" s="5" t="n"/>
      <c r="EU10" s="58" t="n"/>
      <c r="EV10" s="58" t="inlineStr">
        <is>
          <t>:</t>
        </is>
      </c>
      <c r="EW10" s="58" t="n"/>
      <c r="EX10" s="17">
        <f>IF(ISBLANK($E10),"",(IF(ISBLANK(EU10),0,IF((($E10=EU10)*($G10=EW10))*NOT(ISBLANK($E10)),1,0)+((($E10&gt;$G10)*(EU10&gt;EW10))+(($E10&lt;$G10)*(EU10&lt;EW10))+(($E10=$G10)*(EU10=EW10)))-ISBLANK($E10)*(EU10=EW10)+(($E10-$G10)=(EU10-EW10)))))</f>
        <v/>
      </c>
      <c r="EY10" s="37" t="n"/>
      <c r="EZ10" s="5" t="n"/>
      <c r="FA10" s="58" t="n"/>
      <c r="FB10" s="58" t="inlineStr">
        <is>
          <t>:</t>
        </is>
      </c>
      <c r="FC10" s="58" t="n"/>
      <c r="FD10" s="17">
        <f>IF(ISBLANK($E10),"",(IF(ISBLANK(FA10),0,IF((($E10=FA10)*($G10=FC10))*NOT(ISBLANK($E10)),1,0)+((($E10&gt;$G10)*(FA10&gt;FC10))+(($E10&lt;$G10)*(FA10&lt;FC10))+(($E10=$G10)*(FA10=FC10)))-ISBLANK($E10)*(FA10=FC10)+(($E10-$G10)=(FA10-FC10)))))</f>
        <v/>
      </c>
      <c r="FE10" s="37" t="n"/>
      <c r="FF10" s="5" t="n"/>
      <c r="FG10" s="58" t="n"/>
      <c r="FH10" s="58" t="inlineStr">
        <is>
          <t>:</t>
        </is>
      </c>
      <c r="FI10" s="58" t="n"/>
      <c r="FJ10" s="17">
        <f>IF(ISBLANK($E10),"",(IF(ISBLANK(FG10),0,IF((($E10=FG10)*($G10=FI10))*NOT(ISBLANK($E10)),1,0)+((($E10&gt;$G10)*(FG10&gt;FI10))+(($E10&lt;$G10)*(FG10&lt;FI10))+(($E10=$G10)*(FG10=FI10)))-ISBLANK($E10)*(FG10=FI10)+(($E10-$G10)=(FG10-FI10)))))</f>
        <v/>
      </c>
      <c r="FK10" s="37" t="n"/>
      <c r="FL10" s="5" t="n"/>
      <c r="FM10" s="58" t="n"/>
      <c r="FN10" s="58" t="inlineStr">
        <is>
          <t>:</t>
        </is>
      </c>
      <c r="FO10" s="58" t="n"/>
      <c r="FP10" s="17">
        <f>IF(ISBLANK($E10),"",(IF(ISBLANK(FM10),0,IF((($E10=FM10)*($G10=FO10))*NOT(ISBLANK($E10)),1,0)+((($E10&gt;$G10)*(FM10&gt;FO10))+(($E10&lt;$G10)*(FM10&lt;FO10))+(($E10=$G10)*(FM10=FO10)))-ISBLANK($E10)*(FM10=FO10)+(($E10-$G10)=(FM10-FO10)))))</f>
        <v/>
      </c>
      <c r="FQ10" s="37" t="n"/>
      <c r="FR10" s="5" t="n"/>
      <c r="FS10" s="58" t="n"/>
      <c r="FT10" s="58" t="inlineStr">
        <is>
          <t>:</t>
        </is>
      </c>
      <c r="FU10" s="58" t="n"/>
      <c r="FV10" s="17">
        <f>IF(ISBLANK($E10),"",(IF(ISBLANK(FS10),0,IF((($E10=FS10)*($G10=FU10))*NOT(ISBLANK($E10)),1,0)+((($E10&gt;$G10)*(FS10&gt;FU10))+(($E10&lt;$G10)*(FS10&lt;FU10))+(($E10=$G10)*(FS10=FU10)))-ISBLANK($E10)*(FS10=FU10)+(($E10-$G10)=(FS10-FU10)))))</f>
        <v/>
      </c>
      <c r="FW10" s="37" t="n"/>
      <c r="FX10" s="5" t="n"/>
      <c r="FY10" s="58" t="n"/>
      <c r="FZ10" s="58" t="inlineStr">
        <is>
          <t>:</t>
        </is>
      </c>
      <c r="GA10" s="58" t="n"/>
      <c r="GB10" s="17">
        <f>IF(ISBLANK($E10),"",(IF(ISBLANK(FY10),0,IF((($E10=FY10)*($G10=GA10))*NOT(ISBLANK($E10)),1,0)+((($E10&gt;$G10)*(FY10&gt;GA10))+(($E10&lt;$G10)*(FY10&lt;GA10))+(($E10=$G10)*(FY10=GA10)))-ISBLANK($E10)*(FY10=GA10)+(($E10-$G10)=(FY10-GA10)))))</f>
        <v/>
      </c>
      <c r="GC10" s="37" t="n"/>
      <c r="GD10" s="5" t="n"/>
      <c r="GE10" s="58" t="n"/>
      <c r="GF10" s="58" t="inlineStr">
        <is>
          <t>:</t>
        </is>
      </c>
      <c r="GG10" s="58" t="n"/>
      <c r="GH10" s="17">
        <f>IF(ISBLANK($E10),"",(IF(ISBLANK(GE10),0,IF((($E10=GE10)*($G10=GG10))*NOT(ISBLANK($E10)),1,0)+((($E10&gt;$G10)*(GE10&gt;GG10))+(($E10&lt;$G10)*(GE10&lt;GG10))+(($E10=$G10)*(GE10=GG10)))-ISBLANK($E10)*(GE10=GG10)+(($E10-$G10)=(GE10-GG10)))))</f>
        <v/>
      </c>
      <c r="GI10" s="37" t="n"/>
      <c r="GJ10" s="5" t="n"/>
      <c r="GK10" s="58" t="n"/>
      <c r="GL10" s="58" t="inlineStr">
        <is>
          <t>:</t>
        </is>
      </c>
      <c r="GM10" s="58" t="n"/>
      <c r="GN10" s="17">
        <f>IF(ISBLANK($E10),"",(IF(ISBLANK(GK10),0,IF((($E10=GK10)*($G10=GM10))*NOT(ISBLANK($E10)),1,0)+((($E10&gt;$G10)*(GK10&gt;GM10))+(($E10&lt;$G10)*(GK10&lt;GM10))+(($E10=$G10)*(GK10=GM10)))-ISBLANK($E10)*(GK10=GM10)+(($E10-$G10)=(GK10-GM10)))))</f>
        <v/>
      </c>
      <c r="GO10" s="37" t="n"/>
      <c r="GP10" s="5" t="n"/>
      <c r="GQ10" s="58" t="n"/>
      <c r="GR10" s="58" t="inlineStr">
        <is>
          <t>:</t>
        </is>
      </c>
      <c r="GS10" s="58" t="n"/>
      <c r="GT10" s="17">
        <f>IF(ISBLANK($E10),"",(IF(ISBLANK(GQ10),0,IF((($E10=GQ10)*($G10=GS10))*NOT(ISBLANK($E10)),1,0)+((($E10&gt;$G10)*(GQ10&gt;GS10))+(($E10&lt;$G10)*(GQ10&lt;GS10))+(($E10=$G10)*(GQ10=GS10)))-ISBLANK($E10)*(GQ10=GS10)+(($E10-$G10)=(GQ10-GS10)))))</f>
        <v/>
      </c>
      <c r="GU10" s="37" t="n"/>
      <c r="GV10" s="5" t="n"/>
    </row>
    <row r="11" ht="18" customHeight="1">
      <c r="A11" s="62" t="n"/>
      <c r="B11" s="77" t="n"/>
      <c r="C11" s="78" t="inlineStr">
        <is>
          <t>:</t>
        </is>
      </c>
      <c r="D11" s="79" t="n"/>
      <c r="E11" s="54" t="n"/>
      <c r="F11" s="55" t="inlineStr">
        <is>
          <t>:</t>
        </is>
      </c>
      <c r="G11" s="55" t="n"/>
      <c r="I11" s="49">
        <f>COUNTIF(P11,3)+COUNTIF(V11,3)+COUNTIF(AB11,3)+COUNTIF(AH11,3)+COUNTIF(AN11,3)+COUNTIF(AT11,3)+COUNTIF(AZ11,3)+COUNTIF(BF11,3)+COUNTIF(BL11,3)+COUNTIF(BR11,3)+COUNTIF(BX11,3)+COUNTIF(CD11,3)+COUNTIF(CJ11,3)+COUNTIF(CP11,3)+COUNTIF(CV11,3)+COUNTIF(DB11,3)+COUNTIF(DH11,3)+COUNTIF(DN11,3)+COUNTIF(DT11,3)+COUNTIF(DZ11,3)+COUNTIF(EF11,3)+COUNTIF(EL11,3)+COUNTIF(ER11,3)+COUNTIF(EX11,3)+COUNTIF(FD11,3)+COUNTIF(FJ11,3)+COUNTIF(FP11,3)+COUNTIF(FV11,3)+COUNTIF(GB11,3)+COUNTIF(GH11,3)+COUNTIF(GN11,3)+COUNTIF(GT11,3)</f>
        <v/>
      </c>
      <c r="J11" s="49">
        <f>COUNTIF(P11,2)+COUNTIF(V11,2)+COUNTIF(AB11,2)+COUNTIF(AH11,2)+COUNTIF(AN11,2)+COUNTIF(AT11,2)+COUNTIF(AZ11,2)+COUNTIF(BF11,2)+COUNTIF(BL11,2)+COUNTIF(BR11,2)+COUNTIF(BX11,2)+COUNTIF(CD11,2)+COUNTIF(CJ11,2)+COUNTIF(CP11,2)+COUNTIF(CV11,2)+COUNTIF(DB11,2)+COUNTIF(DH11,2)+COUNTIF(DN11,2)+COUNTIF(DT11,2)+COUNTIF(DZ11,2)+COUNTIF(EF11,2)+COUNTIF(EL11,2)+COUNTIF(ER11,2)+COUNTIF(EX11,2)+COUNTIF(FD11,2)+COUNTIF(FJ11,2)+COUNTIF(FP11,2)+COUNTIF(FV11,2)+COUNTIF(GB11,2)+COUNTIF(GH11,2)+COUNTIF(GN11,2)+COUNTIF(GT11,2)</f>
        <v/>
      </c>
      <c r="K11" s="49">
        <f>COUNTIF(P11,1)+COUNTIF(V11,1)+COUNTIF(AB11,1)+COUNTIF(AH11,1)+COUNTIF(AN11,1)+COUNTIF(AT11,1)+COUNTIF(AZ11,1)+COUNTIF(BF11,1)+COUNTIF(BL11,1)+COUNTIF(BR11,1)+COUNTIF(BX11,1)+COUNTIF(CD11,1)+COUNTIF(CJ11,1)+COUNTIF(CP11,1)+COUNTIF(CV11,1)+COUNTIF(DB11,1)+COUNTIF(DH11,1)+COUNTIF(DN11,1)+COUNTIF(DT11,1)+COUNTIF(DZ11,1)+COUNTIF(EF11,1)+COUNTIF(EL11,1)+COUNTIF(ER11,1)+COUNTIF(EX11,1)+COUNTIF(FD11,1)+COUNTIF(FJ11,1)+COUNTIF(FP11,1)+COUNTIF(FV11,1)+COUNTIF(GB11,1)+COUNTIF(GH11,1)+COUNTIF(GN11,1)+COUNTIF(GT11,1)</f>
        <v/>
      </c>
      <c r="L11" s="5" t="n"/>
      <c r="M11" s="58" t="n"/>
      <c r="N11" s="58" t="inlineStr">
        <is>
          <t>:</t>
        </is>
      </c>
      <c r="O11" s="58" t="n"/>
      <c r="P11" s="17">
        <f>IF(ISBLANK($E11),"",(IF(ISBLANK(M11),0,IF((($E11=M11)*($G11=O11))*NOT(ISBLANK($E11)),1,0)+((($E11&gt;$G11)*(M11&gt;O11))+(($E11&lt;$G11)*(M11&lt;O11))+(($E11=$G11)*(M11=O11)))-ISBLANK($E11)*(M11=O11)+(($E11-$G11)=(M11-O11)))))</f>
        <v/>
      </c>
      <c r="Q11" s="35" t="n"/>
      <c r="R11" s="5" t="n"/>
      <c r="S11" s="58" t="n"/>
      <c r="T11" s="58" t="inlineStr">
        <is>
          <t>:</t>
        </is>
      </c>
      <c r="U11" s="58" t="n"/>
      <c r="V11" s="17">
        <f>IF(ISBLANK($E11),"",(IF(ISBLANK(S11),0,IF((($E11=S11)*($G11=U11))*NOT(ISBLANK($E11)),1,0)+((($E11&gt;$G11)*(S11&gt;U11))+(($E11&lt;$G11)*(S11&lt;U11))+(($E11=$G11)*(S11=U11)))-ISBLANK($E11)*(S11=U11)+(($E11-$G11)=(S11-U11)))))</f>
        <v/>
      </c>
      <c r="W11" s="37" t="n"/>
      <c r="X11" s="5" t="n"/>
      <c r="Y11" s="58" t="n"/>
      <c r="Z11" s="58" t="inlineStr">
        <is>
          <t>:</t>
        </is>
      </c>
      <c r="AA11" s="58" t="n"/>
      <c r="AB11" s="17">
        <f>IF(ISBLANK($E11),"",(IF(ISBLANK(Y11),0,IF((($E11=Y11)*($G11=AA11))*NOT(ISBLANK($E11)),1,0)+((($E11&gt;$G11)*(Y11&gt;AA11))+(($E11&lt;$G11)*(Y11&lt;AA11))+(($E11=$G11)*(Y11=AA11)))-ISBLANK($E11)*(Y11=AA11)+(($E11-$G11)=(Y11-AA11)))))</f>
        <v/>
      </c>
      <c r="AC11" s="37" t="n"/>
      <c r="AD11" s="5" t="n"/>
      <c r="AE11" s="58" t="n"/>
      <c r="AF11" s="58" t="inlineStr">
        <is>
          <t>:</t>
        </is>
      </c>
      <c r="AG11" s="58" t="n"/>
      <c r="AH11" s="17">
        <f>IF(ISBLANK($E11),"",(IF(ISBLANK(AE11),0,IF((($E11=AE11)*($G11=AG11))*NOT(ISBLANK($E11)),1,0)+((($E11&gt;$G11)*(AE11&gt;AG11))+(($E11&lt;$G11)*(AE11&lt;AG11))+(($E11=$G11)*(AE11=AG11)))-ISBLANK($E11)*(AE11=AG11)+(($E11-$G11)=(AE11-AG11)))))</f>
        <v/>
      </c>
      <c r="AI11" s="37" t="n"/>
      <c r="AJ11" s="5" t="n"/>
      <c r="AK11" s="58" t="n"/>
      <c r="AL11" s="58" t="inlineStr">
        <is>
          <t>:</t>
        </is>
      </c>
      <c r="AM11" s="58" t="n"/>
      <c r="AN11" s="17">
        <f>IF(ISBLANK($E11),"",(IF(ISBLANK(AK11),0,IF((($E11=AK11)*($G11=AM11))*NOT(ISBLANK($E11)),1,0)+((($E11&gt;$G11)*(AK11&gt;AM11))+(($E11&lt;$G11)*(AK11&lt;AM11))+(($E11=$G11)*(AK11=AM11)))-ISBLANK($E11)*(AK11=AM11)+(($E11-$G11)=(AK11-AM11)))))</f>
        <v/>
      </c>
      <c r="AO11" s="37" t="n"/>
      <c r="AP11" s="5" t="n"/>
      <c r="AQ11" s="58" t="n"/>
      <c r="AR11" s="58" t="inlineStr">
        <is>
          <t>:</t>
        </is>
      </c>
      <c r="AS11" s="58" t="n"/>
      <c r="AT11" s="17">
        <f>IF(ISBLANK($E11),"",(IF(ISBLANK(AQ11),0,IF((($E11=AQ11)*($G11=AS11))*NOT(ISBLANK($E11)),1,0)+((($E11&gt;$G11)*(AQ11&gt;AS11))+(($E11&lt;$G11)*(AQ11&lt;AS11))+(($E11=$G11)*(AQ11=AS11)))-ISBLANK($E11)*(AQ11=AS11)+(($E11-$G11)=(AQ11-AS11)))))</f>
        <v/>
      </c>
      <c r="AU11" s="37" t="n"/>
      <c r="AV11" s="5" t="n"/>
      <c r="AW11" s="58" t="n"/>
      <c r="AX11" s="58" t="inlineStr">
        <is>
          <t>:</t>
        </is>
      </c>
      <c r="AY11" s="58" t="n"/>
      <c r="AZ11" s="17">
        <f>IF(ISBLANK($E11),"",(IF(ISBLANK(AW11),0,IF((($E11=AW11)*($G11=AY11))*NOT(ISBLANK($E11)),1,0)+((($E11&gt;$G11)*(AW11&gt;AY11))+(($E11&lt;$G11)*(AW11&lt;AY11))+(($E11=$G11)*(AW11=AY11)))-ISBLANK($E11)*(AW11=AY11)+(($E11-$G11)=(AW11-AY11)))))</f>
        <v/>
      </c>
      <c r="BA11" s="37" t="n"/>
      <c r="BB11" s="5" t="n"/>
      <c r="BC11" s="58" t="n"/>
      <c r="BD11" s="58" t="inlineStr">
        <is>
          <t>:</t>
        </is>
      </c>
      <c r="BE11" s="58" t="n"/>
      <c r="BF11" s="17">
        <f>IF(ISBLANK($E11),"",(IF(ISBLANK(BC11),0,IF((($E11=BC11)*($G11=BE11))*NOT(ISBLANK($E11)),1,0)+((($E11&gt;$G11)*(BC11&gt;BE11))+(($E11&lt;$G11)*(BC11&lt;BE11))+(($E11=$G11)*(BC11=BE11)))-ISBLANK($E11)*(BC11=BE11)+(($E11-$G11)=(BC11-BE11)))))</f>
        <v/>
      </c>
      <c r="BG11" s="37" t="n"/>
      <c r="BH11" s="5" t="n"/>
      <c r="BI11" s="58" t="n"/>
      <c r="BJ11" s="58" t="inlineStr">
        <is>
          <t>:</t>
        </is>
      </c>
      <c r="BK11" s="58" t="n"/>
      <c r="BL11" s="17">
        <f>IF(ISBLANK($E11),"",(IF(ISBLANK(BI11),0,IF((($E11=BI11)*($G11=BK11))*NOT(ISBLANK($E11)),1,0)+((($E11&gt;$G11)*(BI11&gt;BK11))+(($E11&lt;$G11)*(BI11&lt;BK11))+(($E11=$G11)*(BI11=BK11)))-ISBLANK($E11)*(BI11=BK11)+(($E11-$G11)=(BI11-BK11)))))</f>
        <v/>
      </c>
      <c r="BM11" s="37" t="n"/>
      <c r="BN11" s="5" t="n"/>
      <c r="BO11" s="58" t="n"/>
      <c r="BP11" s="58" t="inlineStr">
        <is>
          <t>:</t>
        </is>
      </c>
      <c r="BQ11" s="58" t="n"/>
      <c r="BR11" s="17">
        <f>IF(ISBLANK($E11),"",(IF(ISBLANK(BO11),0,IF((($E11=BO11)*($G11=BQ11))*NOT(ISBLANK($E11)),1,0)+((($E11&gt;$G11)*(BO11&gt;BQ11))+(($E11&lt;$G11)*(BO11&lt;BQ11))+(($E11=$G11)*(BO11=BQ11)))-ISBLANK($E11)*(BO11=BQ11)+(($E11-$G11)=(BO11-BQ11)))))</f>
        <v/>
      </c>
      <c r="BS11" s="37" t="n"/>
      <c r="BT11" s="5" t="n"/>
      <c r="BU11" s="58" t="n"/>
      <c r="BV11" s="58" t="inlineStr">
        <is>
          <t>:</t>
        </is>
      </c>
      <c r="BW11" s="58" t="n"/>
      <c r="BX11" s="17">
        <f>IF(ISBLANK($E11),"",(IF(ISBLANK(BU11),0,IF((($E11=BU11)*($G11=BW11))*NOT(ISBLANK($E11)),1,0)+((($E11&gt;$G11)*(BU11&gt;BW11))+(($E11&lt;$G11)*(BU11&lt;BW11))+(($E11=$G11)*(BU11=BW11)))-ISBLANK($E11)*(BU11=BW11)+(($E11-$G11)=(BU11-BW11)))))</f>
        <v/>
      </c>
      <c r="BY11" s="37" t="n"/>
      <c r="BZ11" s="5" t="n"/>
      <c r="CA11" s="58" t="n"/>
      <c r="CB11" s="58" t="inlineStr">
        <is>
          <t>:</t>
        </is>
      </c>
      <c r="CC11" s="58" t="n"/>
      <c r="CD11" s="17">
        <f>IF(ISBLANK($E11),"",(IF(ISBLANK(CA11),0,IF((($E11=CA11)*($G11=CC11))*NOT(ISBLANK($E11)),1,0)+((($E11&gt;$G11)*(CA11&gt;CC11))+(($E11&lt;$G11)*(CA11&lt;CC11))+(($E11=$G11)*(CA11=CC11)))-ISBLANK($E11)*(CA11=CC11)+(($E11-$G11)=(CA11-CC11)))))</f>
        <v/>
      </c>
      <c r="CE11" s="37" t="n"/>
      <c r="CF11" s="5" t="n"/>
      <c r="CG11" s="58" t="n"/>
      <c r="CH11" s="58" t="inlineStr">
        <is>
          <t>:</t>
        </is>
      </c>
      <c r="CI11" s="58" t="n"/>
      <c r="CJ11" s="17">
        <f>IF(ISBLANK($E11),"",(IF(ISBLANK(CG11),0,IF((($E11=CG11)*($G11=CI11))*NOT(ISBLANK($E11)),1,0)+((($E11&gt;$G11)*(CG11&gt;CI11))+(($E11&lt;$G11)*(CG11&lt;CI11))+(($E11=$G11)*(CG11=CI11)))-ISBLANK($E11)*(CG11=CI11)+(($E11-$G11)=(CG11-CI11)))))</f>
        <v/>
      </c>
      <c r="CK11" s="37" t="n"/>
      <c r="CL11" s="5" t="n"/>
      <c r="CM11" s="58" t="n"/>
      <c r="CN11" s="58" t="inlineStr">
        <is>
          <t>:</t>
        </is>
      </c>
      <c r="CO11" s="58" t="n"/>
      <c r="CP11" s="17">
        <f>IF(ISBLANK($E11),"",(IF(ISBLANK(CM11),0,IF((($E11=CM11)*($G11=CO11))*NOT(ISBLANK($E11)),1,0)+((($E11&gt;$G11)*(CM11&gt;CO11))+(($E11&lt;$G11)*(CM11&lt;CO11))+(($E11=$G11)*(CM11=CO11)))-ISBLANK($E11)*(CM11=CO11)+(($E11-$G11)=(CM11-CO11)))))</f>
        <v/>
      </c>
      <c r="CQ11" s="37" t="n"/>
      <c r="CR11" s="5" t="n"/>
      <c r="CS11" s="58" t="n"/>
      <c r="CT11" s="58" t="inlineStr">
        <is>
          <t>:</t>
        </is>
      </c>
      <c r="CU11" s="58" t="n"/>
      <c r="CV11" s="17">
        <f>IF(ISBLANK($E11),"",(IF(ISBLANK(CS11),0,IF((($E11=CS11)*($G11=CU11))*NOT(ISBLANK($E11)),1,0)+((($E11&gt;$G11)*(CS11&gt;CU11))+(($E11&lt;$G11)*(CS11&lt;CU11))+(($E11=$G11)*(CS11=CU11)))-ISBLANK($E11)*(CS11=CU11)+(($E11-$G11)=(CS11-CU11)))))</f>
        <v/>
      </c>
      <c r="CW11" s="37" t="n"/>
      <c r="CX11" s="5" t="n"/>
      <c r="CY11" s="58" t="n"/>
      <c r="CZ11" s="58" t="inlineStr">
        <is>
          <t>:</t>
        </is>
      </c>
      <c r="DA11" s="58" t="n"/>
      <c r="DB11" s="17">
        <f>IF(ISBLANK($E11),"",(IF(ISBLANK(CY11),0,IF((($E11=CY11)*($G11=DA11))*NOT(ISBLANK($E11)),1,0)+((($E11&gt;$G11)*(CY11&gt;DA11))+(($E11&lt;$G11)*(CY11&lt;DA11))+(($E11=$G11)*(CY11=DA11)))-ISBLANK($E11)*(CY11=DA11)+(($E11-$G11)=(CY11-DA11)))))</f>
        <v/>
      </c>
      <c r="DC11" s="37" t="n"/>
      <c r="DD11" s="5" t="n"/>
      <c r="DE11" s="58" t="n"/>
      <c r="DF11" s="58" t="inlineStr">
        <is>
          <t>:</t>
        </is>
      </c>
      <c r="DG11" s="58" t="n"/>
      <c r="DH11" s="17">
        <f>IF(ISBLANK($E11),"",(IF(ISBLANK(DE11),0,IF((($E11=DE11)*($G11=DG11))*NOT(ISBLANK($E11)),1,0)+((($E11&gt;$G11)*(DE11&gt;DG11))+(($E11&lt;$G11)*(DE11&lt;DG11))+(($E11=$G11)*(DE11=DG11)))-ISBLANK($E11)*(DE11=DG11)+(($E11-$G11)=(DE11-DG11)))))</f>
        <v/>
      </c>
      <c r="DI11" s="37" t="n"/>
      <c r="DJ11" s="5" t="n"/>
      <c r="DK11" s="58" t="n"/>
      <c r="DL11" s="58" t="inlineStr">
        <is>
          <t>:</t>
        </is>
      </c>
      <c r="DM11" s="58" t="n"/>
      <c r="DN11" s="17">
        <f>IF(ISBLANK($E11),"",(IF(ISBLANK(DK11),0,IF((($E11=DK11)*($G11=DM11))*NOT(ISBLANK($E11)),1,0)+((($E11&gt;$G11)*(DK11&gt;DM11))+(($E11&lt;$G11)*(DK11&lt;DM11))+(($E11=$G11)*(DK11=DM11)))-ISBLANK($E11)*(DK11=DM11)+(($E11-$G11)=(DK11-DM11)))))</f>
        <v/>
      </c>
      <c r="DO11" s="37" t="n"/>
      <c r="DP11" s="5" t="n"/>
      <c r="DQ11" s="58" t="n"/>
      <c r="DR11" s="58" t="inlineStr">
        <is>
          <t>:</t>
        </is>
      </c>
      <c r="DS11" s="58" t="n"/>
      <c r="DT11" s="17">
        <f>IF(ISBLANK($E11),"",(IF(ISBLANK(DQ11),0,IF((($E11=DQ11)*($G11=DS11))*NOT(ISBLANK($E11)),1,0)+((($E11&gt;$G11)*(DQ11&gt;DS11))+(($E11&lt;$G11)*(DQ11&lt;DS11))+(($E11=$G11)*(DQ11=DS11)))-ISBLANK($E11)*(DQ11=DS11)+(($E11-$G11)=(DQ11-DS11)))))</f>
        <v/>
      </c>
      <c r="DU11" s="37" t="n"/>
      <c r="DV11" s="5" t="n"/>
      <c r="DW11" s="58" t="n"/>
      <c r="DX11" s="58" t="inlineStr">
        <is>
          <t>:</t>
        </is>
      </c>
      <c r="DY11" s="58" t="n"/>
      <c r="DZ11" s="17">
        <f>IF(ISBLANK($E11),"",(IF(ISBLANK(DW11),0,IF((($E11=DW11)*($G11=DY11))*NOT(ISBLANK($E11)),1,0)+((($E11&gt;$G11)*(DW11&gt;DY11))+(($E11&lt;$G11)*(DW11&lt;DY11))+(($E11=$G11)*(DW11=DY11)))-ISBLANK($E11)*(DW11=DY11)+(($E11-$G11)=(DW11-DY11)))))</f>
        <v/>
      </c>
      <c r="EA11" s="37" t="n"/>
      <c r="EB11" s="5" t="n"/>
      <c r="EC11" s="58" t="n"/>
      <c r="ED11" s="58" t="inlineStr">
        <is>
          <t>:</t>
        </is>
      </c>
      <c r="EE11" s="58" t="n"/>
      <c r="EF11" s="17">
        <f>IF(ISBLANK($E11),"",(IF(ISBLANK(EC11),0,IF((($E11=EC11)*($G11=EE11))*NOT(ISBLANK($E11)),1,0)+((($E11&gt;$G11)*(EC11&gt;EE11))+(($E11&lt;$G11)*(EC11&lt;EE11))+(($E11=$G11)*(EC11=EE11)))-ISBLANK($E11)*(EC11=EE11)+(($E11-$G11)=(EC11-EE11)))))</f>
        <v/>
      </c>
      <c r="EG11" s="37" t="n"/>
      <c r="EH11" s="5" t="n"/>
      <c r="EI11" s="58" t="n"/>
      <c r="EJ11" s="58" t="inlineStr">
        <is>
          <t>:</t>
        </is>
      </c>
      <c r="EK11" s="58" t="n"/>
      <c r="EL11" s="17">
        <f>IF(ISBLANK($E11),"",(IF(ISBLANK(EI11),0,IF((($E11=EI11)*($G11=EK11))*NOT(ISBLANK($E11)),1,0)+((($E11&gt;$G11)*(EI11&gt;EK11))+(($E11&lt;$G11)*(EI11&lt;EK11))+(($E11=$G11)*(EI11=EK11)))-ISBLANK($E11)*(EI11=EK11)+(($E11-$G11)=(EI11-EK11)))))</f>
        <v/>
      </c>
      <c r="EM11" s="37" t="n"/>
      <c r="EN11" s="5" t="n"/>
      <c r="EO11" s="58" t="n"/>
      <c r="EP11" s="58" t="inlineStr">
        <is>
          <t>:</t>
        </is>
      </c>
      <c r="EQ11" s="58" t="n"/>
      <c r="ER11" s="17">
        <f>IF(ISBLANK($E11),"",(IF(ISBLANK(EO11),0,IF((($E11=EO11)*($G11=EQ11))*NOT(ISBLANK($E11)),1,0)+((($E11&gt;$G11)*(EO11&gt;EQ11))+(($E11&lt;$G11)*(EO11&lt;EQ11))+(($E11=$G11)*(EO11=EQ11)))-ISBLANK($E11)*(EO11=EQ11)+(($E11-$G11)=(EO11-EQ11)))))</f>
        <v/>
      </c>
      <c r="ES11" s="37" t="n"/>
      <c r="ET11" s="5" t="n"/>
      <c r="EU11" s="58" t="n"/>
      <c r="EV11" s="58" t="inlineStr">
        <is>
          <t>:</t>
        </is>
      </c>
      <c r="EW11" s="58" t="n"/>
      <c r="EX11" s="17">
        <f>IF(ISBLANK($E11),"",(IF(ISBLANK(EU11),0,IF((($E11=EU11)*($G11=EW11))*NOT(ISBLANK($E11)),1,0)+((($E11&gt;$G11)*(EU11&gt;EW11))+(($E11&lt;$G11)*(EU11&lt;EW11))+(($E11=$G11)*(EU11=EW11)))-ISBLANK($E11)*(EU11=EW11)+(($E11-$G11)=(EU11-EW11)))))</f>
        <v/>
      </c>
      <c r="EY11" s="37" t="n"/>
      <c r="EZ11" s="5" t="n"/>
      <c r="FA11" s="58" t="n"/>
      <c r="FB11" s="58" t="inlineStr">
        <is>
          <t>:</t>
        </is>
      </c>
      <c r="FC11" s="58" t="n"/>
      <c r="FD11" s="17">
        <f>IF(ISBLANK($E11),"",(IF(ISBLANK(FA11),0,IF((($E11=FA11)*($G11=FC11))*NOT(ISBLANK($E11)),1,0)+((($E11&gt;$G11)*(FA11&gt;FC11))+(($E11&lt;$G11)*(FA11&lt;FC11))+(($E11=$G11)*(FA11=FC11)))-ISBLANK($E11)*(FA11=FC11)+(($E11-$G11)=(FA11-FC11)))))</f>
        <v/>
      </c>
      <c r="FE11" s="37" t="n"/>
      <c r="FF11" s="5" t="n"/>
      <c r="FG11" s="58" t="n"/>
      <c r="FH11" s="58" t="inlineStr">
        <is>
          <t>:</t>
        </is>
      </c>
      <c r="FI11" s="58" t="n"/>
      <c r="FJ11" s="17">
        <f>IF(ISBLANK($E11),"",(IF(ISBLANK(FG11),0,IF((($E11=FG11)*($G11=FI11))*NOT(ISBLANK($E11)),1,0)+((($E11&gt;$G11)*(FG11&gt;FI11))+(($E11&lt;$G11)*(FG11&lt;FI11))+(($E11=$G11)*(FG11=FI11)))-ISBLANK($E11)*(FG11=FI11)+(($E11-$G11)=(FG11-FI11)))))</f>
        <v/>
      </c>
      <c r="FK11" s="37" t="n"/>
      <c r="FL11" s="5" t="n"/>
      <c r="FM11" s="58" t="n"/>
      <c r="FN11" s="58" t="inlineStr">
        <is>
          <t>:</t>
        </is>
      </c>
      <c r="FO11" s="58" t="n"/>
      <c r="FP11" s="17">
        <f>IF(ISBLANK($E11),"",(IF(ISBLANK(FM11),0,IF((($E11=FM11)*($G11=FO11))*NOT(ISBLANK($E11)),1,0)+((($E11&gt;$G11)*(FM11&gt;FO11))+(($E11&lt;$G11)*(FM11&lt;FO11))+(($E11=$G11)*(FM11=FO11)))-ISBLANK($E11)*(FM11=FO11)+(($E11-$G11)=(FM11-FO11)))))</f>
        <v/>
      </c>
      <c r="FQ11" s="37" t="n"/>
      <c r="FR11" s="5" t="n"/>
      <c r="FS11" s="58" t="n"/>
      <c r="FT11" s="58" t="inlineStr">
        <is>
          <t>:</t>
        </is>
      </c>
      <c r="FU11" s="58" t="n"/>
      <c r="FV11" s="17">
        <f>IF(ISBLANK($E11),"",(IF(ISBLANK(FS11),0,IF((($E11=FS11)*($G11=FU11))*NOT(ISBLANK($E11)),1,0)+((($E11&gt;$G11)*(FS11&gt;FU11))+(($E11&lt;$G11)*(FS11&lt;FU11))+(($E11=$G11)*(FS11=FU11)))-ISBLANK($E11)*(FS11=FU11)+(($E11-$G11)=(FS11-FU11)))))</f>
        <v/>
      </c>
      <c r="FW11" s="37" t="n"/>
      <c r="FX11" s="5" t="n"/>
      <c r="FY11" s="58" t="n"/>
      <c r="FZ11" s="58" t="inlineStr">
        <is>
          <t>:</t>
        </is>
      </c>
      <c r="GA11" s="58" t="n"/>
      <c r="GB11" s="17">
        <f>IF(ISBLANK($E11),"",(IF(ISBLANK(FY11),0,IF((($E11=FY11)*($G11=GA11))*NOT(ISBLANK($E11)),1,0)+((($E11&gt;$G11)*(FY11&gt;GA11))+(($E11&lt;$G11)*(FY11&lt;GA11))+(($E11=$G11)*(FY11=GA11)))-ISBLANK($E11)*(FY11=GA11)+(($E11-$G11)=(FY11-GA11)))))</f>
        <v/>
      </c>
      <c r="GC11" s="37" t="n"/>
      <c r="GD11" s="5" t="n"/>
      <c r="GE11" s="58" t="n"/>
      <c r="GF11" s="58" t="inlineStr">
        <is>
          <t>:</t>
        </is>
      </c>
      <c r="GG11" s="58" t="n"/>
      <c r="GH11" s="17">
        <f>IF(ISBLANK($E11),"",(IF(ISBLANK(GE11),0,IF((($E11=GE11)*($G11=GG11))*NOT(ISBLANK($E11)),1,0)+((($E11&gt;$G11)*(GE11&gt;GG11))+(($E11&lt;$G11)*(GE11&lt;GG11))+(($E11=$G11)*(GE11=GG11)))-ISBLANK($E11)*(GE11=GG11)+(($E11-$G11)=(GE11-GG11)))))</f>
        <v/>
      </c>
      <c r="GI11" s="37" t="n"/>
      <c r="GJ11" s="5" t="n"/>
      <c r="GK11" s="58" t="n"/>
      <c r="GL11" s="58" t="inlineStr">
        <is>
          <t>:</t>
        </is>
      </c>
      <c r="GM11" s="58" t="n"/>
      <c r="GN11" s="17">
        <f>IF(ISBLANK($E11),"",(IF(ISBLANK(GK11),0,IF((($E11=GK11)*($G11=GM11))*NOT(ISBLANK($E11)),1,0)+((($E11&gt;$G11)*(GK11&gt;GM11))+(($E11&lt;$G11)*(GK11&lt;GM11))+(($E11=$G11)*(GK11=GM11)))-ISBLANK($E11)*(GK11=GM11)+(($E11-$G11)=(GK11-GM11)))))</f>
        <v/>
      </c>
      <c r="GO11" s="37" t="n"/>
      <c r="GP11" s="5" t="n"/>
      <c r="GQ11" s="58" t="n"/>
      <c r="GR11" s="58" t="inlineStr">
        <is>
          <t>:</t>
        </is>
      </c>
      <c r="GS11" s="58" t="n"/>
      <c r="GT11" s="17">
        <f>IF(ISBLANK($E11),"",(IF(ISBLANK(GQ11),0,IF((($E11=GQ11)*($G11=GS11))*NOT(ISBLANK($E11)),1,0)+((($E11&gt;$G11)*(GQ11&gt;GS11))+(($E11&lt;$G11)*(GQ11&lt;GS11))+(($E11=$G11)*(GQ11=GS11)))-ISBLANK($E11)*(GQ11=GS11)+(($E11-$G11)=(GQ11-GS11)))))</f>
        <v/>
      </c>
      <c r="GU11" s="37" t="n"/>
      <c r="GV11" s="5" t="n"/>
    </row>
    <row r="12" ht="18" customHeight="1">
      <c r="A12" s="62" t="n"/>
      <c r="B12" s="77" t="n"/>
      <c r="C12" s="78" t="inlineStr">
        <is>
          <t>:</t>
        </is>
      </c>
      <c r="D12" s="79" t="n"/>
      <c r="E12" s="54" t="n"/>
      <c r="F12" s="55" t="inlineStr">
        <is>
          <t>:</t>
        </is>
      </c>
      <c r="G12" s="55" t="n"/>
      <c r="I12" s="49">
        <f>COUNTIF(P12,3)+COUNTIF(V12,3)+COUNTIF(AB12,3)+COUNTIF(AH12,3)+COUNTIF(AN12,3)+COUNTIF(AT12,3)+COUNTIF(AZ12,3)+COUNTIF(BF12,3)+COUNTIF(BL12,3)+COUNTIF(BR12,3)+COUNTIF(BX12,3)+COUNTIF(CD12,3)+COUNTIF(CJ12,3)+COUNTIF(CP12,3)+COUNTIF(CV12,3)+COUNTIF(DB12,3)+COUNTIF(DH12,3)+COUNTIF(DN12,3)+COUNTIF(DT12,3)+COUNTIF(DZ12,3)+COUNTIF(EF12,3)+COUNTIF(EL12,3)+COUNTIF(ER12,3)+COUNTIF(EX12,3)+COUNTIF(FD12,3)+COUNTIF(FJ12,3)+COUNTIF(FP12,3)+COUNTIF(FV12,3)+COUNTIF(GB12,3)+COUNTIF(GH12,3)+COUNTIF(GN12,3)+COUNTIF(GT12,3)</f>
        <v/>
      </c>
      <c r="J12" s="49">
        <f>COUNTIF(P12,2)+COUNTIF(V12,2)+COUNTIF(AB12,2)+COUNTIF(AH12,2)+COUNTIF(AN12,2)+COUNTIF(AT12,2)+COUNTIF(AZ12,2)+COUNTIF(BF12,2)+COUNTIF(BL12,2)+COUNTIF(BR12,2)+COUNTIF(BX12,2)+COUNTIF(CD12,2)+COUNTIF(CJ12,2)+COUNTIF(CP12,2)+COUNTIF(CV12,2)+COUNTIF(DB12,2)+COUNTIF(DH12,2)+COUNTIF(DN12,2)+COUNTIF(DT12,2)+COUNTIF(DZ12,2)+COUNTIF(EF12,2)+COUNTIF(EL12,2)+COUNTIF(ER12,2)+COUNTIF(EX12,2)+COUNTIF(FD12,2)+COUNTIF(FJ12,2)+COUNTIF(FP12,2)+COUNTIF(FV12,2)+COUNTIF(GB12,2)+COUNTIF(GH12,2)+COUNTIF(GN12,2)+COUNTIF(GT12,2)</f>
        <v/>
      </c>
      <c r="K12" s="49">
        <f>COUNTIF(P12,1)+COUNTIF(V12,1)+COUNTIF(AB12,1)+COUNTIF(AH12,1)+COUNTIF(AN12,1)+COUNTIF(AT12,1)+COUNTIF(AZ12,1)+COUNTIF(BF12,1)+COUNTIF(BL12,1)+COUNTIF(BR12,1)+COUNTIF(BX12,1)+COUNTIF(CD12,1)+COUNTIF(CJ12,1)+COUNTIF(CP12,1)+COUNTIF(CV12,1)+COUNTIF(DB12,1)+COUNTIF(DH12,1)+COUNTIF(DN12,1)+COUNTIF(DT12,1)+COUNTIF(DZ12,1)+COUNTIF(EF12,1)+COUNTIF(EL12,1)+COUNTIF(ER12,1)+COUNTIF(EX12,1)+COUNTIF(FD12,1)+COUNTIF(FJ12,1)+COUNTIF(FP12,1)+COUNTIF(FV12,1)+COUNTIF(GB12,1)+COUNTIF(GH12,1)+COUNTIF(GN12,1)+COUNTIF(GT12,1)</f>
        <v/>
      </c>
      <c r="L12" s="5" t="n"/>
      <c r="M12" s="58" t="n"/>
      <c r="N12" s="58" t="inlineStr">
        <is>
          <t>:</t>
        </is>
      </c>
      <c r="O12" s="58" t="n"/>
      <c r="P12" s="17">
        <f>IF(ISBLANK($E12),"",(IF(ISBLANK(M12),0,IF((($E12=M12)*($G12=O12))*NOT(ISBLANK($E12)),1,0)+((($E12&gt;$G12)*(M12&gt;O12))+(($E12&lt;$G12)*(M12&lt;O12))+(($E12=$G12)*(M12=O12)))-ISBLANK($E12)*(M12=O12)+(($E12-$G12)=(M12-O12)))))</f>
        <v/>
      </c>
      <c r="Q12" s="35" t="n"/>
      <c r="R12" s="5" t="n"/>
      <c r="S12" s="58" t="n"/>
      <c r="T12" s="58" t="inlineStr">
        <is>
          <t>:</t>
        </is>
      </c>
      <c r="U12" s="58" t="n"/>
      <c r="V12" s="17">
        <f>IF(ISBLANK($E12),"",(IF(ISBLANK(S12),0,IF((($E12=S12)*($G12=U12))*NOT(ISBLANK($E12)),1,0)+((($E12&gt;$G12)*(S12&gt;U12))+(($E12&lt;$G12)*(S12&lt;U12))+(($E12=$G12)*(S12=U12)))-ISBLANK($E12)*(S12=U12)+(($E12-$G12)=(S12-U12)))))</f>
        <v/>
      </c>
      <c r="W12" s="37" t="n"/>
      <c r="X12" s="5" t="n"/>
      <c r="Y12" s="58" t="n"/>
      <c r="Z12" s="58" t="inlineStr">
        <is>
          <t>:</t>
        </is>
      </c>
      <c r="AA12" s="58" t="n"/>
      <c r="AB12" s="17">
        <f>IF(ISBLANK($E12),"",(IF(ISBLANK(Y12),0,IF((($E12=Y12)*($G12=AA12))*NOT(ISBLANK($E12)),1,0)+((($E12&gt;$G12)*(Y12&gt;AA12))+(($E12&lt;$G12)*(Y12&lt;AA12))+(($E12=$G12)*(Y12=AA12)))-ISBLANK($E12)*(Y12=AA12)+(($E12-$G12)=(Y12-AA12)))))</f>
        <v/>
      </c>
      <c r="AC12" s="37" t="n"/>
      <c r="AD12" s="5" t="n"/>
      <c r="AE12" s="58" t="n"/>
      <c r="AF12" s="58" t="inlineStr">
        <is>
          <t>:</t>
        </is>
      </c>
      <c r="AG12" s="58" t="n"/>
      <c r="AH12" s="17">
        <f>IF(ISBLANK($E12),"",(IF(ISBLANK(AE12),0,IF((($E12=AE12)*($G12=AG12))*NOT(ISBLANK($E12)),1,0)+((($E12&gt;$G12)*(AE12&gt;AG12))+(($E12&lt;$G12)*(AE12&lt;AG12))+(($E12=$G12)*(AE12=AG12)))-ISBLANK($E12)*(AE12=AG12)+(($E12-$G12)=(AE12-AG12)))))</f>
        <v/>
      </c>
      <c r="AI12" s="37" t="n"/>
      <c r="AJ12" s="5" t="n"/>
      <c r="AK12" s="58" t="n"/>
      <c r="AL12" s="58" t="inlineStr">
        <is>
          <t>:</t>
        </is>
      </c>
      <c r="AM12" s="58" t="n"/>
      <c r="AN12" s="17">
        <f>IF(ISBLANK($E12),"",(IF(ISBLANK(AK12),0,IF((($E12=AK12)*($G12=AM12))*NOT(ISBLANK($E12)),1,0)+((($E12&gt;$G12)*(AK12&gt;AM12))+(($E12&lt;$G12)*(AK12&lt;AM12))+(($E12=$G12)*(AK12=AM12)))-ISBLANK($E12)*(AK12=AM12)+(($E12-$G12)=(AK12-AM12)))))</f>
        <v/>
      </c>
      <c r="AO12" s="37" t="n"/>
      <c r="AP12" s="5" t="n"/>
      <c r="AQ12" s="58" t="n"/>
      <c r="AR12" s="58" t="inlineStr">
        <is>
          <t>:</t>
        </is>
      </c>
      <c r="AS12" s="58" t="n"/>
      <c r="AT12" s="17">
        <f>IF(ISBLANK($E12),"",(IF(ISBLANK(AQ12),0,IF((($E12=AQ12)*($G12=AS12))*NOT(ISBLANK($E12)),1,0)+((($E12&gt;$G12)*(AQ12&gt;AS12))+(($E12&lt;$G12)*(AQ12&lt;AS12))+(($E12=$G12)*(AQ12=AS12)))-ISBLANK($E12)*(AQ12=AS12)+(($E12-$G12)=(AQ12-AS12)))))</f>
        <v/>
      </c>
      <c r="AU12" s="37" t="n"/>
      <c r="AV12" s="5" t="n"/>
      <c r="AW12" s="58" t="n"/>
      <c r="AX12" s="58" t="inlineStr">
        <is>
          <t>:</t>
        </is>
      </c>
      <c r="AY12" s="58" t="n"/>
      <c r="AZ12" s="17">
        <f>IF(ISBLANK($E12),"",(IF(ISBLANK(AW12),0,IF((($E12=AW12)*($G12=AY12))*NOT(ISBLANK($E12)),1,0)+((($E12&gt;$G12)*(AW12&gt;AY12))+(($E12&lt;$G12)*(AW12&lt;AY12))+(($E12=$G12)*(AW12=AY12)))-ISBLANK($E12)*(AW12=AY12)+(($E12-$G12)=(AW12-AY12)))))</f>
        <v/>
      </c>
      <c r="BA12" s="37" t="n"/>
      <c r="BB12" s="5" t="n"/>
      <c r="BC12" s="58" t="n"/>
      <c r="BD12" s="58" t="inlineStr">
        <is>
          <t>:</t>
        </is>
      </c>
      <c r="BE12" s="58" t="n"/>
      <c r="BF12" s="17">
        <f>IF(ISBLANK($E12),"",(IF(ISBLANK(BC12),0,IF((($E12=BC12)*($G12=BE12))*NOT(ISBLANK($E12)),1,0)+((($E12&gt;$G12)*(BC12&gt;BE12))+(($E12&lt;$G12)*(BC12&lt;BE12))+(($E12=$G12)*(BC12=BE12)))-ISBLANK($E12)*(BC12=BE12)+(($E12-$G12)=(BC12-BE12)))))</f>
        <v/>
      </c>
      <c r="BG12" s="37" t="n"/>
      <c r="BH12" s="5" t="n"/>
      <c r="BI12" s="58" t="n"/>
      <c r="BJ12" s="58" t="inlineStr">
        <is>
          <t>:</t>
        </is>
      </c>
      <c r="BK12" s="58" t="n"/>
      <c r="BL12" s="17">
        <f>IF(ISBLANK($E12),"",(IF(ISBLANK(BI12),0,IF((($E12=BI12)*($G12=BK12))*NOT(ISBLANK($E12)),1,0)+((($E12&gt;$G12)*(BI12&gt;BK12))+(($E12&lt;$G12)*(BI12&lt;BK12))+(($E12=$G12)*(BI12=BK12)))-ISBLANK($E12)*(BI12=BK12)+(($E12-$G12)=(BI12-BK12)))))</f>
        <v/>
      </c>
      <c r="BM12" s="37" t="n"/>
      <c r="BN12" s="5" t="n"/>
      <c r="BO12" s="58" t="n"/>
      <c r="BP12" s="58" t="inlineStr">
        <is>
          <t>:</t>
        </is>
      </c>
      <c r="BQ12" s="58" t="n"/>
      <c r="BR12" s="17">
        <f>IF(ISBLANK($E12),"",(IF(ISBLANK(BO12),0,IF((($E12=BO12)*($G12=BQ12))*NOT(ISBLANK($E12)),1,0)+((($E12&gt;$G12)*(BO12&gt;BQ12))+(($E12&lt;$G12)*(BO12&lt;BQ12))+(($E12=$G12)*(BO12=BQ12)))-ISBLANK($E12)*(BO12=BQ12)+(($E12-$G12)=(BO12-BQ12)))))</f>
        <v/>
      </c>
      <c r="BS12" s="37" t="n"/>
      <c r="BT12" s="5" t="n"/>
      <c r="BU12" s="58" t="n"/>
      <c r="BV12" s="58" t="inlineStr">
        <is>
          <t>:</t>
        </is>
      </c>
      <c r="BW12" s="58" t="n"/>
      <c r="BX12" s="17">
        <f>IF(ISBLANK($E12),"",(IF(ISBLANK(BU12),0,IF((($E12=BU12)*($G12=BW12))*NOT(ISBLANK($E12)),1,0)+((($E12&gt;$G12)*(BU12&gt;BW12))+(($E12&lt;$G12)*(BU12&lt;BW12))+(($E12=$G12)*(BU12=BW12)))-ISBLANK($E12)*(BU12=BW12)+(($E12-$G12)=(BU12-BW12)))))</f>
        <v/>
      </c>
      <c r="BY12" s="37" t="n"/>
      <c r="BZ12" s="5" t="n"/>
      <c r="CA12" s="58" t="n"/>
      <c r="CB12" s="58" t="inlineStr">
        <is>
          <t>:</t>
        </is>
      </c>
      <c r="CC12" s="58" t="n"/>
      <c r="CD12" s="17">
        <f>IF(ISBLANK($E12),"",(IF(ISBLANK(CA12),0,IF((($E12=CA12)*($G12=CC12))*NOT(ISBLANK($E12)),1,0)+((($E12&gt;$G12)*(CA12&gt;CC12))+(($E12&lt;$G12)*(CA12&lt;CC12))+(($E12=$G12)*(CA12=CC12)))-ISBLANK($E12)*(CA12=CC12)+(($E12-$G12)=(CA12-CC12)))))</f>
        <v/>
      </c>
      <c r="CE12" s="37" t="n"/>
      <c r="CF12" s="5" t="n"/>
      <c r="CG12" s="58" t="n"/>
      <c r="CH12" s="58" t="inlineStr">
        <is>
          <t>:</t>
        </is>
      </c>
      <c r="CI12" s="58" t="n"/>
      <c r="CJ12" s="17">
        <f>IF(ISBLANK($E12),"",(IF(ISBLANK(CG12),0,IF((($E12=CG12)*($G12=CI12))*NOT(ISBLANK($E12)),1,0)+((($E12&gt;$G12)*(CG12&gt;CI12))+(($E12&lt;$G12)*(CG12&lt;CI12))+(($E12=$G12)*(CG12=CI12)))-ISBLANK($E12)*(CG12=CI12)+(($E12-$G12)=(CG12-CI12)))))</f>
        <v/>
      </c>
      <c r="CK12" s="37" t="n"/>
      <c r="CL12" s="5" t="n"/>
      <c r="CM12" s="58" t="n"/>
      <c r="CN12" s="58" t="inlineStr">
        <is>
          <t>:</t>
        </is>
      </c>
      <c r="CO12" s="58" t="n"/>
      <c r="CP12" s="17">
        <f>IF(ISBLANK($E12),"",(IF(ISBLANK(CM12),0,IF((($E12=CM12)*($G12=CO12))*NOT(ISBLANK($E12)),1,0)+((($E12&gt;$G12)*(CM12&gt;CO12))+(($E12&lt;$G12)*(CM12&lt;CO12))+(($E12=$G12)*(CM12=CO12)))-ISBLANK($E12)*(CM12=CO12)+(($E12-$G12)=(CM12-CO12)))))</f>
        <v/>
      </c>
      <c r="CQ12" s="37" t="n"/>
      <c r="CR12" s="5" t="n"/>
      <c r="CS12" s="58" t="n"/>
      <c r="CT12" s="58" t="inlineStr">
        <is>
          <t>:</t>
        </is>
      </c>
      <c r="CU12" s="58" t="n"/>
      <c r="CV12" s="17">
        <f>IF(ISBLANK($E12),"",(IF(ISBLANK(CS12),0,IF((($E12=CS12)*($G12=CU12))*NOT(ISBLANK($E12)),1,0)+((($E12&gt;$G12)*(CS12&gt;CU12))+(($E12&lt;$G12)*(CS12&lt;CU12))+(($E12=$G12)*(CS12=CU12)))-ISBLANK($E12)*(CS12=CU12)+(($E12-$G12)=(CS12-CU12)))))</f>
        <v/>
      </c>
      <c r="CW12" s="37" t="n"/>
      <c r="CX12" s="5" t="n"/>
      <c r="CY12" s="58" t="n"/>
      <c r="CZ12" s="58" t="inlineStr">
        <is>
          <t>:</t>
        </is>
      </c>
      <c r="DA12" s="58" t="n"/>
      <c r="DB12" s="17">
        <f>IF(ISBLANK($E12),"",(IF(ISBLANK(CY12),0,IF((($E12=CY12)*($G12=DA12))*NOT(ISBLANK($E12)),1,0)+((($E12&gt;$G12)*(CY12&gt;DA12))+(($E12&lt;$G12)*(CY12&lt;DA12))+(($E12=$G12)*(CY12=DA12)))-ISBLANK($E12)*(CY12=DA12)+(($E12-$G12)=(CY12-DA12)))))</f>
        <v/>
      </c>
      <c r="DC12" s="37" t="n"/>
      <c r="DD12" s="5" t="n"/>
      <c r="DE12" s="58" t="n"/>
      <c r="DF12" s="58" t="inlineStr">
        <is>
          <t>:</t>
        </is>
      </c>
      <c r="DG12" s="58" t="n"/>
      <c r="DH12" s="17">
        <f>IF(ISBLANK($E12),"",(IF(ISBLANK(DE12),0,IF((($E12=DE12)*($G12=DG12))*NOT(ISBLANK($E12)),1,0)+((($E12&gt;$G12)*(DE12&gt;DG12))+(($E12&lt;$G12)*(DE12&lt;DG12))+(($E12=$G12)*(DE12=DG12)))-ISBLANK($E12)*(DE12=DG12)+(($E12-$G12)=(DE12-DG12)))))</f>
        <v/>
      </c>
      <c r="DI12" s="37" t="n"/>
      <c r="DJ12" s="5" t="n"/>
      <c r="DK12" s="58" t="n"/>
      <c r="DL12" s="58" t="inlineStr">
        <is>
          <t>:</t>
        </is>
      </c>
      <c r="DM12" s="58" t="n"/>
      <c r="DN12" s="17">
        <f>IF(ISBLANK($E12),"",(IF(ISBLANK(DK12),0,IF((($E12=DK12)*($G12=DM12))*NOT(ISBLANK($E12)),1,0)+((($E12&gt;$G12)*(DK12&gt;DM12))+(($E12&lt;$G12)*(DK12&lt;DM12))+(($E12=$G12)*(DK12=DM12)))-ISBLANK($E12)*(DK12=DM12)+(($E12-$G12)=(DK12-DM12)))))</f>
        <v/>
      </c>
      <c r="DO12" s="37" t="n"/>
      <c r="DP12" s="5" t="n"/>
      <c r="DQ12" s="58" t="n"/>
      <c r="DR12" s="58" t="inlineStr">
        <is>
          <t>:</t>
        </is>
      </c>
      <c r="DS12" s="58" t="n"/>
      <c r="DT12" s="17">
        <f>IF(ISBLANK($E12),"",(IF(ISBLANK(DQ12),0,IF((($E12=DQ12)*($G12=DS12))*NOT(ISBLANK($E12)),1,0)+((($E12&gt;$G12)*(DQ12&gt;DS12))+(($E12&lt;$G12)*(DQ12&lt;DS12))+(($E12=$G12)*(DQ12=DS12)))-ISBLANK($E12)*(DQ12=DS12)+(($E12-$G12)=(DQ12-DS12)))))</f>
        <v/>
      </c>
      <c r="DU12" s="37" t="n"/>
      <c r="DV12" s="5" t="n"/>
      <c r="DW12" s="58" t="n"/>
      <c r="DX12" s="58" t="inlineStr">
        <is>
          <t>:</t>
        </is>
      </c>
      <c r="DY12" s="58" t="n"/>
      <c r="DZ12" s="17">
        <f>IF(ISBLANK($E12),"",(IF(ISBLANK(DW12),0,IF((($E12=DW12)*($G12=DY12))*NOT(ISBLANK($E12)),1,0)+((($E12&gt;$G12)*(DW12&gt;DY12))+(($E12&lt;$G12)*(DW12&lt;DY12))+(($E12=$G12)*(DW12=DY12)))-ISBLANK($E12)*(DW12=DY12)+(($E12-$G12)=(DW12-DY12)))))</f>
        <v/>
      </c>
      <c r="EA12" s="37" t="n"/>
      <c r="EB12" s="5" t="n"/>
      <c r="EC12" s="58" t="n"/>
      <c r="ED12" s="58" t="inlineStr">
        <is>
          <t>:</t>
        </is>
      </c>
      <c r="EE12" s="58" t="n"/>
      <c r="EF12" s="17">
        <f>IF(ISBLANK($E12),"",(IF(ISBLANK(EC12),0,IF((($E12=EC12)*($G12=EE12))*NOT(ISBLANK($E12)),1,0)+((($E12&gt;$G12)*(EC12&gt;EE12))+(($E12&lt;$G12)*(EC12&lt;EE12))+(($E12=$G12)*(EC12=EE12)))-ISBLANK($E12)*(EC12=EE12)+(($E12-$G12)=(EC12-EE12)))))</f>
        <v/>
      </c>
      <c r="EG12" s="37" t="n"/>
      <c r="EH12" s="5" t="n"/>
      <c r="EI12" s="58" t="n"/>
      <c r="EJ12" s="58" t="inlineStr">
        <is>
          <t>:</t>
        </is>
      </c>
      <c r="EK12" s="58" t="n"/>
      <c r="EL12" s="17">
        <f>IF(ISBLANK($E12),"",(IF(ISBLANK(EI12),0,IF((($E12=EI12)*($G12=EK12))*NOT(ISBLANK($E12)),1,0)+((($E12&gt;$G12)*(EI12&gt;EK12))+(($E12&lt;$G12)*(EI12&lt;EK12))+(($E12=$G12)*(EI12=EK12)))-ISBLANK($E12)*(EI12=EK12)+(($E12-$G12)=(EI12-EK12)))))</f>
        <v/>
      </c>
      <c r="EM12" s="37" t="n"/>
      <c r="EN12" s="5" t="n"/>
      <c r="EO12" s="58" t="n"/>
      <c r="EP12" s="58" t="inlineStr">
        <is>
          <t>:</t>
        </is>
      </c>
      <c r="EQ12" s="58" t="n"/>
      <c r="ER12" s="17">
        <f>IF(ISBLANK($E12),"",(IF(ISBLANK(EO12),0,IF((($E12=EO12)*($G12=EQ12))*NOT(ISBLANK($E12)),1,0)+((($E12&gt;$G12)*(EO12&gt;EQ12))+(($E12&lt;$G12)*(EO12&lt;EQ12))+(($E12=$G12)*(EO12=EQ12)))-ISBLANK($E12)*(EO12=EQ12)+(($E12-$G12)=(EO12-EQ12)))))</f>
        <v/>
      </c>
      <c r="ES12" s="37" t="n"/>
      <c r="ET12" s="5" t="n"/>
      <c r="EU12" s="58" t="n"/>
      <c r="EV12" s="58" t="inlineStr">
        <is>
          <t>:</t>
        </is>
      </c>
      <c r="EW12" s="58" t="n"/>
      <c r="EX12" s="17">
        <f>IF(ISBLANK($E12),"",(IF(ISBLANK(EU12),0,IF((($E12=EU12)*($G12=EW12))*NOT(ISBLANK($E12)),1,0)+((($E12&gt;$G12)*(EU12&gt;EW12))+(($E12&lt;$G12)*(EU12&lt;EW12))+(($E12=$G12)*(EU12=EW12)))-ISBLANK($E12)*(EU12=EW12)+(($E12-$G12)=(EU12-EW12)))))</f>
        <v/>
      </c>
      <c r="EY12" s="37" t="n"/>
      <c r="EZ12" s="5" t="n"/>
      <c r="FA12" s="58" t="n"/>
      <c r="FB12" s="58" t="inlineStr">
        <is>
          <t>:</t>
        </is>
      </c>
      <c r="FC12" s="58" t="n"/>
      <c r="FD12" s="17">
        <f>IF(ISBLANK($E12),"",(IF(ISBLANK(FA12),0,IF((($E12=FA12)*($G12=FC12))*NOT(ISBLANK($E12)),1,0)+((($E12&gt;$G12)*(FA12&gt;FC12))+(($E12&lt;$G12)*(FA12&lt;FC12))+(($E12=$G12)*(FA12=FC12)))-ISBLANK($E12)*(FA12=FC12)+(($E12-$G12)=(FA12-FC12)))))</f>
        <v/>
      </c>
      <c r="FE12" s="37" t="n"/>
      <c r="FF12" s="5" t="n"/>
      <c r="FG12" s="58" t="n"/>
      <c r="FH12" s="58" t="inlineStr">
        <is>
          <t>:</t>
        </is>
      </c>
      <c r="FI12" s="58" t="n"/>
      <c r="FJ12" s="17">
        <f>IF(ISBLANK($E12),"",(IF(ISBLANK(FG12),0,IF((($E12=FG12)*($G12=FI12))*NOT(ISBLANK($E12)),1,0)+((($E12&gt;$G12)*(FG12&gt;FI12))+(($E12&lt;$G12)*(FG12&lt;FI12))+(($E12=$G12)*(FG12=FI12)))-ISBLANK($E12)*(FG12=FI12)+(($E12-$G12)=(FG12-FI12)))))</f>
        <v/>
      </c>
      <c r="FK12" s="37" t="n"/>
      <c r="FL12" s="5" t="n"/>
      <c r="FM12" s="58" t="n"/>
      <c r="FN12" s="58" t="inlineStr">
        <is>
          <t>:</t>
        </is>
      </c>
      <c r="FO12" s="58" t="n"/>
      <c r="FP12" s="17">
        <f>IF(ISBLANK($E12),"",(IF(ISBLANK(FM12),0,IF((($E12=FM12)*($G12=FO12))*NOT(ISBLANK($E12)),1,0)+((($E12&gt;$G12)*(FM12&gt;FO12))+(($E12&lt;$G12)*(FM12&lt;FO12))+(($E12=$G12)*(FM12=FO12)))-ISBLANK($E12)*(FM12=FO12)+(($E12-$G12)=(FM12-FO12)))))</f>
        <v/>
      </c>
      <c r="FQ12" s="37" t="n"/>
      <c r="FR12" s="5" t="n"/>
      <c r="FS12" s="58" t="n"/>
      <c r="FT12" s="58" t="inlineStr">
        <is>
          <t>:</t>
        </is>
      </c>
      <c r="FU12" s="58" t="n"/>
      <c r="FV12" s="17">
        <f>IF(ISBLANK($E12),"",(IF(ISBLANK(FS12),0,IF((($E12=FS12)*($G12=FU12))*NOT(ISBLANK($E12)),1,0)+((($E12&gt;$G12)*(FS12&gt;FU12))+(($E12&lt;$G12)*(FS12&lt;FU12))+(($E12=$G12)*(FS12=FU12)))-ISBLANK($E12)*(FS12=FU12)+(($E12-$G12)=(FS12-FU12)))))</f>
        <v/>
      </c>
      <c r="FW12" s="37" t="n"/>
      <c r="FX12" s="5" t="n"/>
      <c r="FY12" s="58" t="n"/>
      <c r="FZ12" s="58" t="inlineStr">
        <is>
          <t>:</t>
        </is>
      </c>
      <c r="GA12" s="58" t="n"/>
      <c r="GB12" s="17">
        <f>IF(ISBLANK($E12),"",(IF(ISBLANK(FY12),0,IF((($E12=FY12)*($G12=GA12))*NOT(ISBLANK($E12)),1,0)+((($E12&gt;$G12)*(FY12&gt;GA12))+(($E12&lt;$G12)*(FY12&lt;GA12))+(($E12=$G12)*(FY12=GA12)))-ISBLANK($E12)*(FY12=GA12)+(($E12-$G12)=(FY12-GA12)))))</f>
        <v/>
      </c>
      <c r="GC12" s="37" t="n"/>
      <c r="GD12" s="5" t="n"/>
      <c r="GE12" s="58" t="n"/>
      <c r="GF12" s="58" t="inlineStr">
        <is>
          <t>:</t>
        </is>
      </c>
      <c r="GG12" s="58" t="n"/>
      <c r="GH12" s="17">
        <f>IF(ISBLANK($E12),"",(IF(ISBLANK(GE12),0,IF((($E12=GE12)*($G12=GG12))*NOT(ISBLANK($E12)),1,0)+((($E12&gt;$G12)*(GE12&gt;GG12))+(($E12&lt;$G12)*(GE12&lt;GG12))+(($E12=$G12)*(GE12=GG12)))-ISBLANK($E12)*(GE12=GG12)+(($E12-$G12)=(GE12-GG12)))))</f>
        <v/>
      </c>
      <c r="GI12" s="37" t="n"/>
      <c r="GJ12" s="5" t="n"/>
      <c r="GK12" s="58" t="n"/>
      <c r="GL12" s="58" t="inlineStr">
        <is>
          <t>:</t>
        </is>
      </c>
      <c r="GM12" s="58" t="n"/>
      <c r="GN12" s="17">
        <f>IF(ISBLANK($E12),"",(IF(ISBLANK(GK12),0,IF((($E12=GK12)*($G12=GM12))*NOT(ISBLANK($E12)),1,0)+((($E12&gt;$G12)*(GK12&gt;GM12))+(($E12&lt;$G12)*(GK12&lt;GM12))+(($E12=$G12)*(GK12=GM12)))-ISBLANK($E12)*(GK12=GM12)+(($E12-$G12)=(GK12-GM12)))))</f>
        <v/>
      </c>
      <c r="GO12" s="37" t="n"/>
      <c r="GP12" s="5" t="n"/>
      <c r="GQ12" s="58" t="n"/>
      <c r="GR12" s="58" t="inlineStr">
        <is>
          <t>:</t>
        </is>
      </c>
      <c r="GS12" s="58" t="n"/>
      <c r="GT12" s="17">
        <f>IF(ISBLANK($E12),"",(IF(ISBLANK(GQ12),0,IF((($E12=GQ12)*($G12=GS12))*NOT(ISBLANK($E12)),1,0)+((($E12&gt;$G12)*(GQ12&gt;GS12))+(($E12&lt;$G12)*(GQ12&lt;GS12))+(($E12=$G12)*(GQ12=GS12)))-ISBLANK($E12)*(GQ12=GS12)+(($E12-$G12)=(GQ12-GS12)))))</f>
        <v/>
      </c>
      <c r="GU12" s="37" t="n"/>
      <c r="GV12" s="5" t="n"/>
    </row>
    <row r="13" ht="18" customHeight="1">
      <c r="A13" s="62" t="n"/>
      <c r="B13" s="77" t="n"/>
      <c r="C13" s="78" t="inlineStr">
        <is>
          <t>:</t>
        </is>
      </c>
      <c r="D13" s="79" t="n"/>
      <c r="E13" s="54" t="n"/>
      <c r="F13" s="55" t="inlineStr">
        <is>
          <t>:</t>
        </is>
      </c>
      <c r="G13" s="55" t="n"/>
      <c r="I13" s="49">
        <f>COUNTIF(P13,3)+COUNTIF(V13,3)+COUNTIF(AB13,3)+COUNTIF(AH13,3)+COUNTIF(AN13,3)+COUNTIF(AT13,3)+COUNTIF(AZ13,3)+COUNTIF(BF13,3)+COUNTIF(BL13,3)+COUNTIF(BR13,3)+COUNTIF(BX13,3)+COUNTIF(CD13,3)+COUNTIF(CJ13,3)+COUNTIF(CP13,3)+COUNTIF(CV13,3)+COUNTIF(DB13,3)+COUNTIF(DH13,3)+COUNTIF(DN13,3)+COUNTIF(DT13,3)+COUNTIF(DZ13,3)+COUNTIF(EF13,3)+COUNTIF(EL13,3)+COUNTIF(ER13,3)+COUNTIF(EX13,3)+COUNTIF(FD13,3)+COUNTIF(FJ13,3)+COUNTIF(FP13,3)+COUNTIF(FV13,3)+COUNTIF(GB13,3)+COUNTIF(GH13,3)+COUNTIF(GN13,3)+COUNTIF(GT13,3)</f>
        <v/>
      </c>
      <c r="J13" s="49">
        <f>COUNTIF(P13,2)+COUNTIF(V13,2)+COUNTIF(AB13,2)+COUNTIF(AH13,2)+COUNTIF(AN13,2)+COUNTIF(AT13,2)+COUNTIF(AZ13,2)+COUNTIF(BF13,2)+COUNTIF(BL13,2)+COUNTIF(BR13,2)+COUNTIF(BX13,2)+COUNTIF(CD13,2)+COUNTIF(CJ13,2)+COUNTIF(CP13,2)+COUNTIF(CV13,2)+COUNTIF(DB13,2)+COUNTIF(DH13,2)+COUNTIF(DN13,2)+COUNTIF(DT13,2)+COUNTIF(DZ13,2)+COUNTIF(EF13,2)+COUNTIF(EL13,2)+COUNTIF(ER13,2)+COUNTIF(EX13,2)+COUNTIF(FD13,2)+COUNTIF(FJ13,2)+COUNTIF(FP13,2)+COUNTIF(FV13,2)+COUNTIF(GB13,2)+COUNTIF(GH13,2)+COUNTIF(GN13,2)+COUNTIF(GT13,2)</f>
        <v/>
      </c>
      <c r="K13" s="49">
        <f>COUNTIF(P13,1)+COUNTIF(V13,1)+COUNTIF(AB13,1)+COUNTIF(AH13,1)+COUNTIF(AN13,1)+COUNTIF(AT13,1)+COUNTIF(AZ13,1)+COUNTIF(BF13,1)+COUNTIF(BL13,1)+COUNTIF(BR13,1)+COUNTIF(BX13,1)+COUNTIF(CD13,1)+COUNTIF(CJ13,1)+COUNTIF(CP13,1)+COUNTIF(CV13,1)+COUNTIF(DB13,1)+COUNTIF(DH13,1)+COUNTIF(DN13,1)+COUNTIF(DT13,1)+COUNTIF(DZ13,1)+COUNTIF(EF13,1)+COUNTIF(EL13,1)+COUNTIF(ER13,1)+COUNTIF(EX13,1)+COUNTIF(FD13,1)+COUNTIF(FJ13,1)+COUNTIF(FP13,1)+COUNTIF(FV13,1)+COUNTIF(GB13,1)+COUNTIF(GH13,1)+COUNTIF(GN13,1)+COUNTIF(GT13,1)</f>
        <v/>
      </c>
      <c r="L13" s="5" t="n"/>
      <c r="M13" s="58" t="n"/>
      <c r="N13" s="58" t="inlineStr">
        <is>
          <t>:</t>
        </is>
      </c>
      <c r="O13" s="58" t="n"/>
      <c r="P13" s="17">
        <f>IF(ISBLANK($E13),"",(IF(ISBLANK(M13),0,IF((($E13=M13)*($G13=O13))*NOT(ISBLANK($E13)),1,0)+((($E13&gt;$G13)*(M13&gt;O13))+(($E13&lt;$G13)*(M13&lt;O13))+(($E13=$G13)*(M13=O13)))-ISBLANK($E13)*(M13=O13)+(($E13-$G13)=(M13-O13)))))</f>
        <v/>
      </c>
      <c r="Q13" s="35" t="n"/>
      <c r="R13" s="5" t="n"/>
      <c r="S13" s="58" t="n"/>
      <c r="T13" s="58" t="inlineStr">
        <is>
          <t>:</t>
        </is>
      </c>
      <c r="U13" s="58" t="n"/>
      <c r="V13" s="17">
        <f>IF(ISBLANK($E13),"",(IF(ISBLANK(S13),0,IF((($E13=S13)*($G13=U13))*NOT(ISBLANK($E13)),1,0)+((($E13&gt;$G13)*(S13&gt;U13))+(($E13&lt;$G13)*(S13&lt;U13))+(($E13=$G13)*(S13=U13)))-ISBLANK($E13)*(S13=U13)+(($E13-$G13)=(S13-U13)))))</f>
        <v/>
      </c>
      <c r="W13" s="37" t="n"/>
      <c r="X13" s="5" t="n"/>
      <c r="Y13" s="58" t="n"/>
      <c r="Z13" s="58" t="inlineStr">
        <is>
          <t>:</t>
        </is>
      </c>
      <c r="AA13" s="58" t="n"/>
      <c r="AB13" s="17">
        <f>IF(ISBLANK($E13),"",(IF(ISBLANK(Y13),0,IF((($E13=Y13)*($G13=AA13))*NOT(ISBLANK($E13)),1,0)+((($E13&gt;$G13)*(Y13&gt;AA13))+(($E13&lt;$G13)*(Y13&lt;AA13))+(($E13=$G13)*(Y13=AA13)))-ISBLANK($E13)*(Y13=AA13)+(($E13-$G13)=(Y13-AA13)))))</f>
        <v/>
      </c>
      <c r="AC13" s="37" t="n"/>
      <c r="AD13" s="5" t="n"/>
      <c r="AE13" s="58" t="n"/>
      <c r="AF13" s="58" t="inlineStr">
        <is>
          <t>:</t>
        </is>
      </c>
      <c r="AG13" s="58" t="n"/>
      <c r="AH13" s="17">
        <f>IF(ISBLANK($E13),"",(IF(ISBLANK(AE13),0,IF((($E13=AE13)*($G13=AG13))*NOT(ISBLANK($E13)),1,0)+((($E13&gt;$G13)*(AE13&gt;AG13))+(($E13&lt;$G13)*(AE13&lt;AG13))+(($E13=$G13)*(AE13=AG13)))-ISBLANK($E13)*(AE13=AG13)+(($E13-$G13)=(AE13-AG13)))))</f>
        <v/>
      </c>
      <c r="AI13" s="37" t="n"/>
      <c r="AJ13" s="5" t="n"/>
      <c r="AK13" s="58" t="n"/>
      <c r="AL13" s="58" t="inlineStr">
        <is>
          <t>:</t>
        </is>
      </c>
      <c r="AM13" s="58" t="n"/>
      <c r="AN13" s="17">
        <f>IF(ISBLANK($E13),"",(IF(ISBLANK(AK13),0,IF((($E13=AK13)*($G13=AM13))*NOT(ISBLANK($E13)),1,0)+((($E13&gt;$G13)*(AK13&gt;AM13))+(($E13&lt;$G13)*(AK13&lt;AM13))+(($E13=$G13)*(AK13=AM13)))-ISBLANK($E13)*(AK13=AM13)+(($E13-$G13)=(AK13-AM13)))))</f>
        <v/>
      </c>
      <c r="AO13" s="37" t="n"/>
      <c r="AP13" s="5" t="n"/>
      <c r="AQ13" s="58" t="n"/>
      <c r="AR13" s="58" t="inlineStr">
        <is>
          <t>:</t>
        </is>
      </c>
      <c r="AS13" s="58" t="n"/>
      <c r="AT13" s="17">
        <f>IF(ISBLANK($E13),"",(IF(ISBLANK(AQ13),0,IF((($E13=AQ13)*($G13=AS13))*NOT(ISBLANK($E13)),1,0)+((($E13&gt;$G13)*(AQ13&gt;AS13))+(($E13&lt;$G13)*(AQ13&lt;AS13))+(($E13=$G13)*(AQ13=AS13)))-ISBLANK($E13)*(AQ13=AS13)+(($E13-$G13)=(AQ13-AS13)))))</f>
        <v/>
      </c>
      <c r="AU13" s="37" t="n"/>
      <c r="AV13" s="5" t="n"/>
      <c r="AW13" s="58" t="n"/>
      <c r="AX13" s="58" t="inlineStr">
        <is>
          <t>:</t>
        </is>
      </c>
      <c r="AY13" s="58" t="n"/>
      <c r="AZ13" s="17">
        <f>IF(ISBLANK($E13),"",(IF(ISBLANK(AW13),0,IF((($E13=AW13)*($G13=AY13))*NOT(ISBLANK($E13)),1,0)+((($E13&gt;$G13)*(AW13&gt;AY13))+(($E13&lt;$G13)*(AW13&lt;AY13))+(($E13=$G13)*(AW13=AY13)))-ISBLANK($E13)*(AW13=AY13)+(($E13-$G13)=(AW13-AY13)))))</f>
        <v/>
      </c>
      <c r="BA13" s="37" t="n"/>
      <c r="BB13" s="5" t="n"/>
      <c r="BC13" s="58" t="n"/>
      <c r="BD13" s="58" t="inlineStr">
        <is>
          <t>:</t>
        </is>
      </c>
      <c r="BE13" s="58" t="n"/>
      <c r="BF13" s="17">
        <f>IF(ISBLANK($E13),"",(IF(ISBLANK(BC13),0,IF((($E13=BC13)*($G13=BE13))*NOT(ISBLANK($E13)),1,0)+((($E13&gt;$G13)*(BC13&gt;BE13))+(($E13&lt;$G13)*(BC13&lt;BE13))+(($E13=$G13)*(BC13=BE13)))-ISBLANK($E13)*(BC13=BE13)+(($E13-$G13)=(BC13-BE13)))))</f>
        <v/>
      </c>
      <c r="BG13" s="37" t="n"/>
      <c r="BH13" s="5" t="n"/>
      <c r="BI13" s="58" t="n"/>
      <c r="BJ13" s="58" t="inlineStr">
        <is>
          <t>:</t>
        </is>
      </c>
      <c r="BK13" s="58" t="n"/>
      <c r="BL13" s="17">
        <f>IF(ISBLANK($E13),"",(IF(ISBLANK(BI13),0,IF((($E13=BI13)*($G13=BK13))*NOT(ISBLANK($E13)),1,0)+((($E13&gt;$G13)*(BI13&gt;BK13))+(($E13&lt;$G13)*(BI13&lt;BK13))+(($E13=$G13)*(BI13=BK13)))-ISBLANK($E13)*(BI13=BK13)+(($E13-$G13)=(BI13-BK13)))))</f>
        <v/>
      </c>
      <c r="BM13" s="37" t="n"/>
      <c r="BN13" s="5" t="n"/>
      <c r="BO13" s="58" t="n"/>
      <c r="BP13" s="58" t="inlineStr">
        <is>
          <t>:</t>
        </is>
      </c>
      <c r="BQ13" s="58" t="n"/>
      <c r="BR13" s="17">
        <f>IF(ISBLANK($E13),"",(IF(ISBLANK(BO13),0,IF((($E13=BO13)*($G13=BQ13))*NOT(ISBLANK($E13)),1,0)+((($E13&gt;$G13)*(BO13&gt;BQ13))+(($E13&lt;$G13)*(BO13&lt;BQ13))+(($E13=$G13)*(BO13=BQ13)))-ISBLANK($E13)*(BO13=BQ13)+(($E13-$G13)=(BO13-BQ13)))))</f>
        <v/>
      </c>
      <c r="BS13" s="37" t="n"/>
      <c r="BT13" s="5" t="n"/>
      <c r="BU13" s="58" t="n"/>
      <c r="BV13" s="58" t="inlineStr">
        <is>
          <t>:</t>
        </is>
      </c>
      <c r="BW13" s="58" t="n"/>
      <c r="BX13" s="17">
        <f>IF(ISBLANK($E13),"",(IF(ISBLANK(BU13),0,IF((($E13=BU13)*($G13=BW13))*NOT(ISBLANK($E13)),1,0)+((($E13&gt;$G13)*(BU13&gt;BW13))+(($E13&lt;$G13)*(BU13&lt;BW13))+(($E13=$G13)*(BU13=BW13)))-ISBLANK($E13)*(BU13=BW13)+(($E13-$G13)=(BU13-BW13)))))</f>
        <v/>
      </c>
      <c r="BY13" s="37" t="n"/>
      <c r="BZ13" s="5" t="n"/>
      <c r="CA13" s="58" t="n"/>
      <c r="CB13" s="58" t="inlineStr">
        <is>
          <t>:</t>
        </is>
      </c>
      <c r="CC13" s="58" t="n"/>
      <c r="CD13" s="17">
        <f>IF(ISBLANK($E13),"",(IF(ISBLANK(CA13),0,IF((($E13=CA13)*($G13=CC13))*NOT(ISBLANK($E13)),1,0)+((($E13&gt;$G13)*(CA13&gt;CC13))+(($E13&lt;$G13)*(CA13&lt;CC13))+(($E13=$G13)*(CA13=CC13)))-ISBLANK($E13)*(CA13=CC13)+(($E13-$G13)=(CA13-CC13)))))</f>
        <v/>
      </c>
      <c r="CE13" s="37" t="n"/>
      <c r="CF13" s="5" t="n"/>
      <c r="CG13" s="58" t="n"/>
      <c r="CH13" s="58" t="inlineStr">
        <is>
          <t>:</t>
        </is>
      </c>
      <c r="CI13" s="58" t="n"/>
      <c r="CJ13" s="17">
        <f>IF(ISBLANK($E13),"",(IF(ISBLANK(CG13),0,IF((($E13=CG13)*($G13=CI13))*NOT(ISBLANK($E13)),1,0)+((($E13&gt;$G13)*(CG13&gt;CI13))+(($E13&lt;$G13)*(CG13&lt;CI13))+(($E13=$G13)*(CG13=CI13)))-ISBLANK($E13)*(CG13=CI13)+(($E13-$G13)=(CG13-CI13)))))</f>
        <v/>
      </c>
      <c r="CK13" s="37" t="n"/>
      <c r="CL13" s="5" t="n"/>
      <c r="CM13" s="58" t="n"/>
      <c r="CN13" s="58" t="inlineStr">
        <is>
          <t>:</t>
        </is>
      </c>
      <c r="CO13" s="58" t="n"/>
      <c r="CP13" s="17">
        <f>IF(ISBLANK($E13),"",(IF(ISBLANK(CM13),0,IF((($E13=CM13)*($G13=CO13))*NOT(ISBLANK($E13)),1,0)+((($E13&gt;$G13)*(CM13&gt;CO13))+(($E13&lt;$G13)*(CM13&lt;CO13))+(($E13=$G13)*(CM13=CO13)))-ISBLANK($E13)*(CM13=CO13)+(($E13-$G13)=(CM13-CO13)))))</f>
        <v/>
      </c>
      <c r="CQ13" s="37" t="n"/>
      <c r="CR13" s="5" t="n"/>
      <c r="CS13" s="58" t="n"/>
      <c r="CT13" s="58" t="inlineStr">
        <is>
          <t>:</t>
        </is>
      </c>
      <c r="CU13" s="58" t="n"/>
      <c r="CV13" s="17">
        <f>IF(ISBLANK($E13),"",(IF(ISBLANK(CS13),0,IF((($E13=CS13)*($G13=CU13))*NOT(ISBLANK($E13)),1,0)+((($E13&gt;$G13)*(CS13&gt;CU13))+(($E13&lt;$G13)*(CS13&lt;CU13))+(($E13=$G13)*(CS13=CU13)))-ISBLANK($E13)*(CS13=CU13)+(($E13-$G13)=(CS13-CU13)))))</f>
        <v/>
      </c>
      <c r="CW13" s="37" t="n"/>
      <c r="CX13" s="5" t="n"/>
      <c r="CY13" s="58" t="n"/>
      <c r="CZ13" s="58" t="inlineStr">
        <is>
          <t>:</t>
        </is>
      </c>
      <c r="DA13" s="58" t="n"/>
      <c r="DB13" s="17">
        <f>IF(ISBLANK($E13),"",(IF(ISBLANK(CY13),0,IF((($E13=CY13)*($G13=DA13))*NOT(ISBLANK($E13)),1,0)+((($E13&gt;$G13)*(CY13&gt;DA13))+(($E13&lt;$G13)*(CY13&lt;DA13))+(($E13=$G13)*(CY13=DA13)))-ISBLANK($E13)*(CY13=DA13)+(($E13-$G13)=(CY13-DA13)))))</f>
        <v/>
      </c>
      <c r="DC13" s="37" t="n"/>
      <c r="DD13" s="5" t="n"/>
      <c r="DE13" s="58" t="n"/>
      <c r="DF13" s="58" t="inlineStr">
        <is>
          <t>:</t>
        </is>
      </c>
      <c r="DG13" s="58" t="n"/>
      <c r="DH13" s="17">
        <f>IF(ISBLANK($E13),"",(IF(ISBLANK(DE13),0,IF((($E13=DE13)*($G13=DG13))*NOT(ISBLANK($E13)),1,0)+((($E13&gt;$G13)*(DE13&gt;DG13))+(($E13&lt;$G13)*(DE13&lt;DG13))+(($E13=$G13)*(DE13=DG13)))-ISBLANK($E13)*(DE13=DG13)+(($E13-$G13)=(DE13-DG13)))))</f>
        <v/>
      </c>
      <c r="DI13" s="37" t="n"/>
      <c r="DJ13" s="5" t="n"/>
      <c r="DK13" s="58" t="n"/>
      <c r="DL13" s="58" t="inlineStr">
        <is>
          <t>:</t>
        </is>
      </c>
      <c r="DM13" s="58" t="n"/>
      <c r="DN13" s="17">
        <f>IF(ISBLANK($E13),"",(IF(ISBLANK(DK13),0,IF((($E13=DK13)*($G13=DM13))*NOT(ISBLANK($E13)),1,0)+((($E13&gt;$G13)*(DK13&gt;DM13))+(($E13&lt;$G13)*(DK13&lt;DM13))+(($E13=$G13)*(DK13=DM13)))-ISBLANK($E13)*(DK13=DM13)+(($E13-$G13)=(DK13-DM13)))))</f>
        <v/>
      </c>
      <c r="DO13" s="37" t="n"/>
      <c r="DP13" s="5" t="n"/>
      <c r="DQ13" s="58" t="n"/>
      <c r="DR13" s="58" t="inlineStr">
        <is>
          <t>:</t>
        </is>
      </c>
      <c r="DS13" s="58" t="n"/>
      <c r="DT13" s="17">
        <f>IF(ISBLANK($E13),"",(IF(ISBLANK(DQ13),0,IF((($E13=DQ13)*($G13=DS13))*NOT(ISBLANK($E13)),1,0)+((($E13&gt;$G13)*(DQ13&gt;DS13))+(($E13&lt;$G13)*(DQ13&lt;DS13))+(($E13=$G13)*(DQ13=DS13)))-ISBLANK($E13)*(DQ13=DS13)+(($E13-$G13)=(DQ13-DS13)))))</f>
        <v/>
      </c>
      <c r="DU13" s="37" t="n"/>
      <c r="DV13" s="5" t="n"/>
      <c r="DW13" s="58" t="n"/>
      <c r="DX13" s="58" t="inlineStr">
        <is>
          <t>:</t>
        </is>
      </c>
      <c r="DY13" s="58" t="n"/>
      <c r="DZ13" s="17">
        <f>IF(ISBLANK($E13),"",(IF(ISBLANK(DW13),0,IF((($E13=DW13)*($G13=DY13))*NOT(ISBLANK($E13)),1,0)+((($E13&gt;$G13)*(DW13&gt;DY13))+(($E13&lt;$G13)*(DW13&lt;DY13))+(($E13=$G13)*(DW13=DY13)))-ISBLANK($E13)*(DW13=DY13)+(($E13-$G13)=(DW13-DY13)))))</f>
        <v/>
      </c>
      <c r="EA13" s="37" t="n"/>
      <c r="EB13" s="5" t="n"/>
      <c r="EC13" s="58" t="n"/>
      <c r="ED13" s="58" t="inlineStr">
        <is>
          <t>:</t>
        </is>
      </c>
      <c r="EE13" s="58" t="n"/>
      <c r="EF13" s="17">
        <f>IF(ISBLANK($E13),"",(IF(ISBLANK(EC13),0,IF((($E13=EC13)*($G13=EE13))*NOT(ISBLANK($E13)),1,0)+((($E13&gt;$G13)*(EC13&gt;EE13))+(($E13&lt;$G13)*(EC13&lt;EE13))+(($E13=$G13)*(EC13=EE13)))-ISBLANK($E13)*(EC13=EE13)+(($E13-$G13)=(EC13-EE13)))))</f>
        <v/>
      </c>
      <c r="EG13" s="37" t="n"/>
      <c r="EH13" s="5" t="n"/>
      <c r="EI13" s="58" t="n"/>
      <c r="EJ13" s="58" t="inlineStr">
        <is>
          <t>:</t>
        </is>
      </c>
      <c r="EK13" s="58" t="n"/>
      <c r="EL13" s="17">
        <f>IF(ISBLANK($E13),"",(IF(ISBLANK(EI13),0,IF((($E13=EI13)*($G13=EK13))*NOT(ISBLANK($E13)),1,0)+((($E13&gt;$G13)*(EI13&gt;EK13))+(($E13&lt;$G13)*(EI13&lt;EK13))+(($E13=$G13)*(EI13=EK13)))-ISBLANK($E13)*(EI13=EK13)+(($E13-$G13)=(EI13-EK13)))))</f>
        <v/>
      </c>
      <c r="EM13" s="37" t="n"/>
      <c r="EN13" s="5" t="n"/>
      <c r="EO13" s="58" t="n"/>
      <c r="EP13" s="58" t="inlineStr">
        <is>
          <t>:</t>
        </is>
      </c>
      <c r="EQ13" s="58" t="n"/>
      <c r="ER13" s="17">
        <f>IF(ISBLANK($E13),"",(IF(ISBLANK(EO13),0,IF((($E13=EO13)*($G13=EQ13))*NOT(ISBLANK($E13)),1,0)+((($E13&gt;$G13)*(EO13&gt;EQ13))+(($E13&lt;$G13)*(EO13&lt;EQ13))+(($E13=$G13)*(EO13=EQ13)))-ISBLANK($E13)*(EO13=EQ13)+(($E13-$G13)=(EO13-EQ13)))))</f>
        <v/>
      </c>
      <c r="ES13" s="37" t="n"/>
      <c r="ET13" s="5" t="n"/>
      <c r="EU13" s="58" t="n"/>
      <c r="EV13" s="58" t="inlineStr">
        <is>
          <t>:</t>
        </is>
      </c>
      <c r="EW13" s="58" t="n"/>
      <c r="EX13" s="17">
        <f>IF(ISBLANK($E13),"",(IF(ISBLANK(EU13),0,IF((($E13=EU13)*($G13=EW13))*NOT(ISBLANK($E13)),1,0)+((($E13&gt;$G13)*(EU13&gt;EW13))+(($E13&lt;$G13)*(EU13&lt;EW13))+(($E13=$G13)*(EU13=EW13)))-ISBLANK($E13)*(EU13=EW13)+(($E13-$G13)=(EU13-EW13)))))</f>
        <v/>
      </c>
      <c r="EY13" s="37" t="n"/>
      <c r="EZ13" s="5" t="n"/>
      <c r="FA13" s="58" t="n"/>
      <c r="FB13" s="58" t="inlineStr">
        <is>
          <t>:</t>
        </is>
      </c>
      <c r="FC13" s="58" t="n"/>
      <c r="FD13" s="17">
        <f>IF(ISBLANK($E13),"",(IF(ISBLANK(FA13),0,IF((($E13=FA13)*($G13=FC13))*NOT(ISBLANK($E13)),1,0)+((($E13&gt;$G13)*(FA13&gt;FC13))+(($E13&lt;$G13)*(FA13&lt;FC13))+(($E13=$G13)*(FA13=FC13)))-ISBLANK($E13)*(FA13=FC13)+(($E13-$G13)=(FA13-FC13)))))</f>
        <v/>
      </c>
      <c r="FE13" s="37" t="n"/>
      <c r="FF13" s="5" t="n"/>
      <c r="FG13" s="58" t="n"/>
      <c r="FH13" s="58" t="inlineStr">
        <is>
          <t>:</t>
        </is>
      </c>
      <c r="FI13" s="58" t="n"/>
      <c r="FJ13" s="17">
        <f>IF(ISBLANK($E13),"",(IF(ISBLANK(FG13),0,IF((($E13=FG13)*($G13=FI13))*NOT(ISBLANK($E13)),1,0)+((($E13&gt;$G13)*(FG13&gt;FI13))+(($E13&lt;$G13)*(FG13&lt;FI13))+(($E13=$G13)*(FG13=FI13)))-ISBLANK($E13)*(FG13=FI13)+(($E13-$G13)=(FG13-FI13)))))</f>
        <v/>
      </c>
      <c r="FK13" s="37" t="n"/>
      <c r="FL13" s="5" t="n"/>
      <c r="FM13" s="58" t="n"/>
      <c r="FN13" s="58" t="inlineStr">
        <is>
          <t>:</t>
        </is>
      </c>
      <c r="FO13" s="58" t="n"/>
      <c r="FP13" s="17">
        <f>IF(ISBLANK($E13),"",(IF(ISBLANK(FM13),0,IF((($E13=FM13)*($G13=FO13))*NOT(ISBLANK($E13)),1,0)+((($E13&gt;$G13)*(FM13&gt;FO13))+(($E13&lt;$G13)*(FM13&lt;FO13))+(($E13=$G13)*(FM13=FO13)))-ISBLANK($E13)*(FM13=FO13)+(($E13-$G13)=(FM13-FO13)))))</f>
        <v/>
      </c>
      <c r="FQ13" s="37" t="n"/>
      <c r="FR13" s="5" t="n"/>
      <c r="FS13" s="58" t="n"/>
      <c r="FT13" s="58" t="inlineStr">
        <is>
          <t>:</t>
        </is>
      </c>
      <c r="FU13" s="58" t="n"/>
      <c r="FV13" s="17">
        <f>IF(ISBLANK($E13),"",(IF(ISBLANK(FS13),0,IF((($E13=FS13)*($G13=FU13))*NOT(ISBLANK($E13)),1,0)+((($E13&gt;$G13)*(FS13&gt;FU13))+(($E13&lt;$G13)*(FS13&lt;FU13))+(($E13=$G13)*(FS13=FU13)))-ISBLANK($E13)*(FS13=FU13)+(($E13-$G13)=(FS13-FU13)))))</f>
        <v/>
      </c>
      <c r="FW13" s="37" t="n"/>
      <c r="FX13" s="5" t="n"/>
      <c r="FY13" s="58" t="n"/>
      <c r="FZ13" s="58" t="inlineStr">
        <is>
          <t>:</t>
        </is>
      </c>
      <c r="GA13" s="58" t="n"/>
      <c r="GB13" s="17">
        <f>IF(ISBLANK($E13),"",(IF(ISBLANK(FY13),0,IF((($E13=FY13)*($G13=GA13))*NOT(ISBLANK($E13)),1,0)+((($E13&gt;$G13)*(FY13&gt;GA13))+(($E13&lt;$G13)*(FY13&lt;GA13))+(($E13=$G13)*(FY13=GA13)))-ISBLANK($E13)*(FY13=GA13)+(($E13-$G13)=(FY13-GA13)))))</f>
        <v/>
      </c>
      <c r="GC13" s="37" t="n"/>
      <c r="GD13" s="5" t="n"/>
      <c r="GE13" s="58" t="n"/>
      <c r="GF13" s="58" t="inlineStr">
        <is>
          <t>:</t>
        </is>
      </c>
      <c r="GG13" s="58" t="n"/>
      <c r="GH13" s="17">
        <f>IF(ISBLANK($E13),"",(IF(ISBLANK(GE13),0,IF((($E13=GE13)*($G13=GG13))*NOT(ISBLANK($E13)),1,0)+((($E13&gt;$G13)*(GE13&gt;GG13))+(($E13&lt;$G13)*(GE13&lt;GG13))+(($E13=$G13)*(GE13=GG13)))-ISBLANK($E13)*(GE13=GG13)+(($E13-$G13)=(GE13-GG13)))))</f>
        <v/>
      </c>
      <c r="GI13" s="37" t="n"/>
      <c r="GJ13" s="5" t="n"/>
      <c r="GK13" s="58" t="n"/>
      <c r="GL13" s="58" t="inlineStr">
        <is>
          <t>:</t>
        </is>
      </c>
      <c r="GM13" s="58" t="n"/>
      <c r="GN13" s="17">
        <f>IF(ISBLANK($E13),"",(IF(ISBLANK(GK13),0,IF((($E13=GK13)*($G13=GM13))*NOT(ISBLANK($E13)),1,0)+((($E13&gt;$G13)*(GK13&gt;GM13))+(($E13&lt;$G13)*(GK13&lt;GM13))+(($E13=$G13)*(GK13=GM13)))-ISBLANK($E13)*(GK13=GM13)+(($E13-$G13)=(GK13-GM13)))))</f>
        <v/>
      </c>
      <c r="GO13" s="37" t="n"/>
      <c r="GP13" s="5" t="n"/>
      <c r="GQ13" s="58" t="n"/>
      <c r="GR13" s="58" t="inlineStr">
        <is>
          <t>:</t>
        </is>
      </c>
      <c r="GS13" s="58" t="n"/>
      <c r="GT13" s="17">
        <f>IF(ISBLANK($E13),"",(IF(ISBLANK(GQ13),0,IF((($E13=GQ13)*($G13=GS13))*NOT(ISBLANK($E13)),1,0)+((($E13&gt;$G13)*(GQ13&gt;GS13))+(($E13&lt;$G13)*(GQ13&lt;GS13))+(($E13=$G13)*(GQ13=GS13)))-ISBLANK($E13)*(GQ13=GS13)+(($E13-$G13)=(GQ13-GS13)))))</f>
        <v/>
      </c>
      <c r="GU13" s="37" t="n"/>
      <c r="GV13" s="5" t="n"/>
    </row>
    <row r="14" ht="18.75" customHeight="1" thickBot="1">
      <c r="A14" s="62" t="n"/>
      <c r="B14" s="77" t="n"/>
      <c r="C14" s="78" t="inlineStr">
        <is>
          <t>:</t>
        </is>
      </c>
      <c r="D14" s="79" t="n"/>
      <c r="E14" s="54" t="n"/>
      <c r="F14" s="55" t="inlineStr">
        <is>
          <t>:</t>
        </is>
      </c>
      <c r="G14" s="55" t="n"/>
      <c r="I14" s="49">
        <f>COUNTIF(P14,3)+COUNTIF(V14,3)+COUNTIF(AB14,3)+COUNTIF(AH14,3)+COUNTIF(AN14,3)+COUNTIF(AT14,3)+COUNTIF(AZ14,3)+COUNTIF(BF14,3)+COUNTIF(BL14,3)+COUNTIF(BR14,3)+COUNTIF(BX14,3)+COUNTIF(CD14,3)+COUNTIF(CJ14,3)+COUNTIF(CP14,3)+COUNTIF(CV14,3)+COUNTIF(DB14,3)+COUNTIF(DH14,3)+COUNTIF(DN14,3)+COUNTIF(DT14,3)+COUNTIF(DZ14,3)+COUNTIF(EF14,3)+COUNTIF(EL14,3)+COUNTIF(ER14,3)+COUNTIF(EX14,3)+COUNTIF(FD14,3)+COUNTIF(FJ14,3)+COUNTIF(FP14,3)+COUNTIF(FV14,3)+COUNTIF(GB14,3)+COUNTIF(GH14,3)+COUNTIF(GN14,3)+COUNTIF(GT14,3)</f>
        <v/>
      </c>
      <c r="J14" s="49">
        <f>COUNTIF(P14,2)+COUNTIF(V14,2)+COUNTIF(AB14,2)+COUNTIF(AH14,2)+COUNTIF(AN14,2)+COUNTIF(AT14,2)+COUNTIF(AZ14,2)+COUNTIF(BF14,2)+COUNTIF(BL14,2)+COUNTIF(BR14,2)+COUNTIF(BX14,2)+COUNTIF(CD14,2)+COUNTIF(CJ14,2)+COUNTIF(CP14,2)+COUNTIF(CV14,2)+COUNTIF(DB14,2)+COUNTIF(DH14,2)+COUNTIF(DN14,2)+COUNTIF(DT14,2)+COUNTIF(DZ14,2)+COUNTIF(EF14,2)+COUNTIF(EL14,2)+COUNTIF(ER14,2)+COUNTIF(EX14,2)+COUNTIF(FD14,2)+COUNTIF(FJ14,2)+COUNTIF(FP14,2)+COUNTIF(FV14,2)+COUNTIF(GB14,2)+COUNTIF(GH14,2)+COUNTIF(GN14,2)+COUNTIF(GT14,2)</f>
        <v/>
      </c>
      <c r="K14" s="49">
        <f>COUNTIF(P14,1)+COUNTIF(V14,1)+COUNTIF(AB14,1)+COUNTIF(AH14,1)+COUNTIF(AN14,1)+COUNTIF(AT14,1)+COUNTIF(AZ14,1)+COUNTIF(BF14,1)+COUNTIF(BL14,1)+COUNTIF(BR14,1)+COUNTIF(BX14,1)+COUNTIF(CD14,1)+COUNTIF(CJ14,1)+COUNTIF(CP14,1)+COUNTIF(CV14,1)+COUNTIF(DB14,1)+COUNTIF(DH14,1)+COUNTIF(DN14,1)+COUNTIF(DT14,1)+COUNTIF(DZ14,1)+COUNTIF(EF14,1)+COUNTIF(EL14,1)+COUNTIF(ER14,1)+COUNTIF(EX14,1)+COUNTIF(FD14,1)+COUNTIF(FJ14,1)+COUNTIF(FP14,1)+COUNTIF(FV14,1)+COUNTIF(GB14,1)+COUNTIF(GH14,1)+COUNTIF(GN14,1)+COUNTIF(GT14,1)</f>
        <v/>
      </c>
      <c r="L14" s="5" t="n"/>
      <c r="M14" s="58" t="n"/>
      <c r="N14" s="58" t="inlineStr">
        <is>
          <t>:</t>
        </is>
      </c>
      <c r="O14" s="58" t="n"/>
      <c r="P14" s="17">
        <f>IF(ISBLANK($E14),"",(IF(ISBLANK(M14),0,IF((($E14=M14)*($G14=O14))*NOT(ISBLANK($E14)),1,0)+((($E14&gt;$G14)*(M14&gt;O14))+(($E14&lt;$G14)*(M14&lt;O14))+(($E14=$G14)*(M14=O14)))-ISBLANK($E14)*(M14=O14)+(($E14-$G14)=(M14-O14)))))</f>
        <v/>
      </c>
      <c r="Q14" s="35" t="n"/>
      <c r="R14" s="5" t="n"/>
      <c r="S14" s="58" t="n"/>
      <c r="T14" s="58" t="inlineStr">
        <is>
          <t>:</t>
        </is>
      </c>
      <c r="U14" s="58" t="n"/>
      <c r="V14" s="17">
        <f>IF(ISBLANK($E14),"",(IF(ISBLANK(S14),0,IF((($E14=S14)*($G14=U14))*NOT(ISBLANK($E14)),1,0)+((($E14&gt;$G14)*(S14&gt;U14))+(($E14&lt;$G14)*(S14&lt;U14))+(($E14=$G14)*(S14=U14)))-ISBLANK($E14)*(S14=U14)+(($E14-$G14)=(S14-U14)))))</f>
        <v/>
      </c>
      <c r="W14" s="37" t="n"/>
      <c r="X14" s="5" t="n"/>
      <c r="Y14" s="58" t="n"/>
      <c r="Z14" s="58" t="inlineStr">
        <is>
          <t>:</t>
        </is>
      </c>
      <c r="AA14" s="58" t="n"/>
      <c r="AB14" s="17">
        <f>IF(ISBLANK($E14),"",(IF(ISBLANK(Y14),0,IF((($E14=Y14)*($G14=AA14))*NOT(ISBLANK($E14)),1,0)+((($E14&gt;$G14)*(Y14&gt;AA14))+(($E14&lt;$G14)*(Y14&lt;AA14))+(($E14=$G14)*(Y14=AA14)))-ISBLANK($E14)*(Y14=AA14)+(($E14-$G14)=(Y14-AA14)))))</f>
        <v/>
      </c>
      <c r="AC14" s="37" t="n"/>
      <c r="AD14" s="5" t="n"/>
      <c r="AE14" s="58" t="n"/>
      <c r="AF14" s="58" t="inlineStr">
        <is>
          <t>:</t>
        </is>
      </c>
      <c r="AG14" s="58" t="n"/>
      <c r="AH14" s="17">
        <f>IF(ISBLANK($E14),"",(IF(ISBLANK(AE14),0,IF((($E14=AE14)*($G14=AG14))*NOT(ISBLANK($E14)),1,0)+((($E14&gt;$G14)*(AE14&gt;AG14))+(($E14&lt;$G14)*(AE14&lt;AG14))+(($E14=$G14)*(AE14=AG14)))-ISBLANK($E14)*(AE14=AG14)+(($E14-$G14)=(AE14-AG14)))))</f>
        <v/>
      </c>
      <c r="AI14" s="37" t="n"/>
      <c r="AJ14" s="5" t="n"/>
      <c r="AK14" s="58" t="n"/>
      <c r="AL14" s="58" t="inlineStr">
        <is>
          <t>:</t>
        </is>
      </c>
      <c r="AM14" s="58" t="n"/>
      <c r="AN14" s="17">
        <f>IF(ISBLANK($E14),"",(IF(ISBLANK(AK14),0,IF((($E14=AK14)*($G14=AM14))*NOT(ISBLANK($E14)),1,0)+((($E14&gt;$G14)*(AK14&gt;AM14))+(($E14&lt;$G14)*(AK14&lt;AM14))+(($E14=$G14)*(AK14=AM14)))-ISBLANK($E14)*(AK14=AM14)+(($E14-$G14)=(AK14-AM14)))))</f>
        <v/>
      </c>
      <c r="AO14" s="37" t="n"/>
      <c r="AP14" s="5" t="n"/>
      <c r="AQ14" s="58" t="n"/>
      <c r="AR14" s="58" t="inlineStr">
        <is>
          <t>:</t>
        </is>
      </c>
      <c r="AS14" s="58" t="n"/>
      <c r="AT14" s="17">
        <f>IF(ISBLANK($E14),"",(IF(ISBLANK(AQ14),0,IF((($E14=AQ14)*($G14=AS14))*NOT(ISBLANK($E14)),1,0)+((($E14&gt;$G14)*(AQ14&gt;AS14))+(($E14&lt;$G14)*(AQ14&lt;AS14))+(($E14=$G14)*(AQ14=AS14)))-ISBLANK($E14)*(AQ14=AS14)+(($E14-$G14)=(AQ14-AS14)))))</f>
        <v/>
      </c>
      <c r="AU14" s="37" t="n"/>
      <c r="AV14" s="5" t="n"/>
      <c r="AW14" s="58" t="n"/>
      <c r="AX14" s="58" t="inlineStr">
        <is>
          <t>:</t>
        </is>
      </c>
      <c r="AY14" s="58" t="n"/>
      <c r="AZ14" s="17">
        <f>IF(ISBLANK($E14),"",(IF(ISBLANK(AW14),0,IF((($E14=AW14)*($G14=AY14))*NOT(ISBLANK($E14)),1,0)+((($E14&gt;$G14)*(AW14&gt;AY14))+(($E14&lt;$G14)*(AW14&lt;AY14))+(($E14=$G14)*(AW14=AY14)))-ISBLANK($E14)*(AW14=AY14)+(($E14-$G14)=(AW14-AY14)))))</f>
        <v/>
      </c>
      <c r="BA14" s="37" t="n"/>
      <c r="BB14" s="5" t="n"/>
      <c r="BC14" s="58" t="n"/>
      <c r="BD14" s="58" t="inlineStr">
        <is>
          <t>:</t>
        </is>
      </c>
      <c r="BE14" s="58" t="n"/>
      <c r="BF14" s="17">
        <f>IF(ISBLANK($E14),"",(IF(ISBLANK(BC14),0,IF((($E14=BC14)*($G14=BE14))*NOT(ISBLANK($E14)),1,0)+((($E14&gt;$G14)*(BC14&gt;BE14))+(($E14&lt;$G14)*(BC14&lt;BE14))+(($E14=$G14)*(BC14=BE14)))-ISBLANK($E14)*(BC14=BE14)+(($E14-$G14)=(BC14-BE14)))))</f>
        <v/>
      </c>
      <c r="BG14" s="37" t="n"/>
      <c r="BH14" s="5" t="n"/>
      <c r="BI14" s="58" t="n"/>
      <c r="BJ14" s="58" t="inlineStr">
        <is>
          <t>:</t>
        </is>
      </c>
      <c r="BK14" s="58" t="n"/>
      <c r="BL14" s="17">
        <f>IF(ISBLANK($E14),"",(IF(ISBLANK(BI14),0,IF((($E14=BI14)*($G14=BK14))*NOT(ISBLANK($E14)),1,0)+((($E14&gt;$G14)*(BI14&gt;BK14))+(($E14&lt;$G14)*(BI14&lt;BK14))+(($E14=$G14)*(BI14=BK14)))-ISBLANK($E14)*(BI14=BK14)+(($E14-$G14)=(BI14-BK14)))))</f>
        <v/>
      </c>
      <c r="BM14" s="37" t="n"/>
      <c r="BN14" s="5" t="n"/>
      <c r="BO14" s="58" t="n"/>
      <c r="BP14" s="58" t="inlineStr">
        <is>
          <t>:</t>
        </is>
      </c>
      <c r="BQ14" s="58" t="n"/>
      <c r="BR14" s="17">
        <f>IF(ISBLANK($E14),"",(IF(ISBLANK(BO14),0,IF((($E14=BO14)*($G14=BQ14))*NOT(ISBLANK($E14)),1,0)+((($E14&gt;$G14)*(BO14&gt;BQ14))+(($E14&lt;$G14)*(BO14&lt;BQ14))+(($E14=$G14)*(BO14=BQ14)))-ISBLANK($E14)*(BO14=BQ14)+(($E14-$G14)=(BO14-BQ14)))))</f>
        <v/>
      </c>
      <c r="BS14" s="37" t="n"/>
      <c r="BT14" s="5" t="n"/>
      <c r="BU14" s="58" t="n"/>
      <c r="BV14" s="58" t="inlineStr">
        <is>
          <t>:</t>
        </is>
      </c>
      <c r="BW14" s="58" t="n"/>
      <c r="BX14" s="17">
        <f>IF(ISBLANK($E14),"",(IF(ISBLANK(BU14),0,IF((($E14=BU14)*($G14=BW14))*NOT(ISBLANK($E14)),1,0)+((($E14&gt;$G14)*(BU14&gt;BW14))+(($E14&lt;$G14)*(BU14&lt;BW14))+(($E14=$G14)*(BU14=BW14)))-ISBLANK($E14)*(BU14=BW14)+(($E14-$G14)=(BU14-BW14)))))</f>
        <v/>
      </c>
      <c r="BY14" s="37" t="n"/>
      <c r="BZ14" s="5" t="n"/>
      <c r="CA14" s="58" t="n"/>
      <c r="CB14" s="58" t="inlineStr">
        <is>
          <t>:</t>
        </is>
      </c>
      <c r="CC14" s="58" t="n"/>
      <c r="CD14" s="17">
        <f>IF(ISBLANK($E14),"",(IF(ISBLANK(CA14),0,IF((($E14=CA14)*($G14=CC14))*NOT(ISBLANK($E14)),1,0)+((($E14&gt;$G14)*(CA14&gt;CC14))+(($E14&lt;$G14)*(CA14&lt;CC14))+(($E14=$G14)*(CA14=CC14)))-ISBLANK($E14)*(CA14=CC14)+(($E14-$G14)=(CA14-CC14)))))</f>
        <v/>
      </c>
      <c r="CE14" s="37" t="n"/>
      <c r="CF14" s="5" t="n"/>
      <c r="CG14" s="58" t="n"/>
      <c r="CH14" s="58" t="inlineStr">
        <is>
          <t>:</t>
        </is>
      </c>
      <c r="CI14" s="58" t="n"/>
      <c r="CJ14" s="17">
        <f>IF(ISBLANK($E14),"",(IF(ISBLANK(CG14),0,IF((($E14=CG14)*($G14=CI14))*NOT(ISBLANK($E14)),1,0)+((($E14&gt;$G14)*(CG14&gt;CI14))+(($E14&lt;$G14)*(CG14&lt;CI14))+(($E14=$G14)*(CG14=CI14)))-ISBLANK($E14)*(CG14=CI14)+(($E14-$G14)=(CG14-CI14)))))</f>
        <v/>
      </c>
      <c r="CK14" s="37" t="n"/>
      <c r="CL14" s="5" t="n"/>
      <c r="CM14" s="58" t="n"/>
      <c r="CN14" s="58" t="inlineStr">
        <is>
          <t>:</t>
        </is>
      </c>
      <c r="CO14" s="58" t="n"/>
      <c r="CP14" s="17">
        <f>IF(ISBLANK($E14),"",(IF(ISBLANK(CM14),0,IF((($E14=CM14)*($G14=CO14))*NOT(ISBLANK($E14)),1,0)+((($E14&gt;$G14)*(CM14&gt;CO14))+(($E14&lt;$G14)*(CM14&lt;CO14))+(($E14=$G14)*(CM14=CO14)))-ISBLANK($E14)*(CM14=CO14)+(($E14-$G14)=(CM14-CO14)))))</f>
        <v/>
      </c>
      <c r="CQ14" s="37" t="n"/>
      <c r="CR14" s="5" t="n"/>
      <c r="CS14" s="58" t="n"/>
      <c r="CT14" s="58" t="inlineStr">
        <is>
          <t>:</t>
        </is>
      </c>
      <c r="CU14" s="58" t="n"/>
      <c r="CV14" s="17">
        <f>IF(ISBLANK($E14),"",(IF(ISBLANK(CS14),0,IF((($E14=CS14)*($G14=CU14))*NOT(ISBLANK($E14)),1,0)+((($E14&gt;$G14)*(CS14&gt;CU14))+(($E14&lt;$G14)*(CS14&lt;CU14))+(($E14=$G14)*(CS14=CU14)))-ISBLANK($E14)*(CS14=CU14)+(($E14-$G14)=(CS14-CU14)))))</f>
        <v/>
      </c>
      <c r="CW14" s="37" t="n"/>
      <c r="CX14" s="5" t="n"/>
      <c r="CY14" s="58" t="n"/>
      <c r="CZ14" s="58" t="inlineStr">
        <is>
          <t>:</t>
        </is>
      </c>
      <c r="DA14" s="58" t="n"/>
      <c r="DB14" s="17">
        <f>IF(ISBLANK($E14),"",(IF(ISBLANK(CY14),0,IF((($E14=CY14)*($G14=DA14))*NOT(ISBLANK($E14)),1,0)+((($E14&gt;$G14)*(CY14&gt;DA14))+(($E14&lt;$G14)*(CY14&lt;DA14))+(($E14=$G14)*(CY14=DA14)))-ISBLANK($E14)*(CY14=DA14)+(($E14-$G14)=(CY14-DA14)))))</f>
        <v/>
      </c>
      <c r="DC14" s="37" t="n"/>
      <c r="DD14" s="5" t="n"/>
      <c r="DE14" s="58" t="n"/>
      <c r="DF14" s="58" t="inlineStr">
        <is>
          <t>:</t>
        </is>
      </c>
      <c r="DG14" s="58" t="n"/>
      <c r="DH14" s="17">
        <f>IF(ISBLANK($E14),"",(IF(ISBLANK(DE14),0,IF((($E14=DE14)*($G14=DG14))*NOT(ISBLANK($E14)),1,0)+((($E14&gt;$G14)*(DE14&gt;DG14))+(($E14&lt;$G14)*(DE14&lt;DG14))+(($E14=$G14)*(DE14=DG14)))-ISBLANK($E14)*(DE14=DG14)+(($E14-$G14)=(DE14-DG14)))))</f>
        <v/>
      </c>
      <c r="DI14" s="37" t="n"/>
      <c r="DJ14" s="5" t="n"/>
      <c r="DK14" s="58" t="n"/>
      <c r="DL14" s="58" t="inlineStr">
        <is>
          <t>:</t>
        </is>
      </c>
      <c r="DM14" s="58" t="n"/>
      <c r="DN14" s="17">
        <f>IF(ISBLANK($E14),"",(IF(ISBLANK(DK14),0,IF((($E14=DK14)*($G14=DM14))*NOT(ISBLANK($E14)),1,0)+((($E14&gt;$G14)*(DK14&gt;DM14))+(($E14&lt;$G14)*(DK14&lt;DM14))+(($E14=$G14)*(DK14=DM14)))-ISBLANK($E14)*(DK14=DM14)+(($E14-$G14)=(DK14-DM14)))))</f>
        <v/>
      </c>
      <c r="DO14" s="37" t="n"/>
      <c r="DP14" s="5" t="n"/>
      <c r="DQ14" s="58" t="n"/>
      <c r="DR14" s="58" t="inlineStr">
        <is>
          <t>:</t>
        </is>
      </c>
      <c r="DS14" s="58" t="n"/>
      <c r="DT14" s="17">
        <f>IF(ISBLANK($E14),"",(IF(ISBLANK(DQ14),0,IF((($E14=DQ14)*($G14=DS14))*NOT(ISBLANK($E14)),1,0)+((($E14&gt;$G14)*(DQ14&gt;DS14))+(($E14&lt;$G14)*(DQ14&lt;DS14))+(($E14=$G14)*(DQ14=DS14)))-ISBLANK($E14)*(DQ14=DS14)+(($E14-$G14)=(DQ14-DS14)))))</f>
        <v/>
      </c>
      <c r="DU14" s="37" t="n"/>
      <c r="DV14" s="5" t="n"/>
      <c r="DW14" s="58" t="n"/>
      <c r="DX14" s="58" t="inlineStr">
        <is>
          <t>:</t>
        </is>
      </c>
      <c r="DY14" s="58" t="n"/>
      <c r="DZ14" s="17">
        <f>IF(ISBLANK($E14),"",(IF(ISBLANK(DW14),0,IF((($E14=DW14)*($G14=DY14))*NOT(ISBLANK($E14)),1,0)+((($E14&gt;$G14)*(DW14&gt;DY14))+(($E14&lt;$G14)*(DW14&lt;DY14))+(($E14=$G14)*(DW14=DY14)))-ISBLANK($E14)*(DW14=DY14)+(($E14-$G14)=(DW14-DY14)))))</f>
        <v/>
      </c>
      <c r="EA14" s="37" t="n"/>
      <c r="EB14" s="5" t="n"/>
      <c r="EC14" s="58" t="n"/>
      <c r="ED14" s="58" t="inlineStr">
        <is>
          <t>:</t>
        </is>
      </c>
      <c r="EE14" s="58" t="n"/>
      <c r="EF14" s="17">
        <f>IF(ISBLANK($E14),"",(IF(ISBLANK(EC14),0,IF((($E14=EC14)*($G14=EE14))*NOT(ISBLANK($E14)),1,0)+((($E14&gt;$G14)*(EC14&gt;EE14))+(($E14&lt;$G14)*(EC14&lt;EE14))+(($E14=$G14)*(EC14=EE14)))-ISBLANK($E14)*(EC14=EE14)+(($E14-$G14)=(EC14-EE14)))))</f>
        <v/>
      </c>
      <c r="EG14" s="37" t="n"/>
      <c r="EH14" s="5" t="n"/>
      <c r="EI14" s="58" t="n"/>
      <c r="EJ14" s="58" t="inlineStr">
        <is>
          <t>:</t>
        </is>
      </c>
      <c r="EK14" s="58" t="n"/>
      <c r="EL14" s="17">
        <f>IF(ISBLANK($E14),"",(IF(ISBLANK(EI14),0,IF((($E14=EI14)*($G14=EK14))*NOT(ISBLANK($E14)),1,0)+((($E14&gt;$G14)*(EI14&gt;EK14))+(($E14&lt;$G14)*(EI14&lt;EK14))+(($E14=$G14)*(EI14=EK14)))-ISBLANK($E14)*(EI14=EK14)+(($E14-$G14)=(EI14-EK14)))))</f>
        <v/>
      </c>
      <c r="EM14" s="37" t="n"/>
      <c r="EN14" s="5" t="n"/>
      <c r="EO14" s="58" t="n"/>
      <c r="EP14" s="58" t="inlineStr">
        <is>
          <t>:</t>
        </is>
      </c>
      <c r="EQ14" s="58" t="n"/>
      <c r="ER14" s="17">
        <f>IF(ISBLANK($E14),"",(IF(ISBLANK(EO14),0,IF((($E14=EO14)*($G14=EQ14))*NOT(ISBLANK($E14)),1,0)+((($E14&gt;$G14)*(EO14&gt;EQ14))+(($E14&lt;$G14)*(EO14&lt;EQ14))+(($E14=$G14)*(EO14=EQ14)))-ISBLANK($E14)*(EO14=EQ14)+(($E14-$G14)=(EO14-EQ14)))))</f>
        <v/>
      </c>
      <c r="ES14" s="37" t="n"/>
      <c r="ET14" s="5" t="n"/>
      <c r="EU14" s="58" t="n"/>
      <c r="EV14" s="58" t="inlineStr">
        <is>
          <t>:</t>
        </is>
      </c>
      <c r="EW14" s="58" t="n"/>
      <c r="EX14" s="17">
        <f>IF(ISBLANK($E14),"",(IF(ISBLANK(EU14),0,IF((($E14=EU14)*($G14=EW14))*NOT(ISBLANK($E14)),1,0)+((($E14&gt;$G14)*(EU14&gt;EW14))+(($E14&lt;$G14)*(EU14&lt;EW14))+(($E14=$G14)*(EU14=EW14)))-ISBLANK($E14)*(EU14=EW14)+(($E14-$G14)=(EU14-EW14)))))</f>
        <v/>
      </c>
      <c r="EY14" s="37" t="n"/>
      <c r="EZ14" s="5" t="n"/>
      <c r="FA14" s="58" t="n"/>
      <c r="FB14" s="58" t="inlineStr">
        <is>
          <t>:</t>
        </is>
      </c>
      <c r="FC14" s="58" t="n"/>
      <c r="FD14" s="17">
        <f>IF(ISBLANK($E14),"",(IF(ISBLANK(FA14),0,IF((($E14=FA14)*($G14=FC14))*NOT(ISBLANK($E14)),1,0)+((($E14&gt;$G14)*(FA14&gt;FC14))+(($E14&lt;$G14)*(FA14&lt;FC14))+(($E14=$G14)*(FA14=FC14)))-ISBLANK($E14)*(FA14=FC14)+(($E14-$G14)=(FA14-FC14)))))</f>
        <v/>
      </c>
      <c r="FE14" s="37" t="n"/>
      <c r="FF14" s="5" t="n"/>
      <c r="FG14" s="58" t="n"/>
      <c r="FH14" s="58" t="inlineStr">
        <is>
          <t>:</t>
        </is>
      </c>
      <c r="FI14" s="58" t="n"/>
      <c r="FJ14" s="17">
        <f>IF(ISBLANK($E14),"",(IF(ISBLANK(FG14),0,IF((($E14=FG14)*($G14=FI14))*NOT(ISBLANK($E14)),1,0)+((($E14&gt;$G14)*(FG14&gt;FI14))+(($E14&lt;$G14)*(FG14&lt;FI14))+(($E14=$G14)*(FG14=FI14)))-ISBLANK($E14)*(FG14=FI14)+(($E14-$G14)=(FG14-FI14)))))</f>
        <v/>
      </c>
      <c r="FK14" s="37" t="n"/>
      <c r="FL14" s="5" t="n"/>
      <c r="FM14" s="58" t="n"/>
      <c r="FN14" s="58" t="inlineStr">
        <is>
          <t>:</t>
        </is>
      </c>
      <c r="FO14" s="58" t="n"/>
      <c r="FP14" s="17">
        <f>IF(ISBLANK($E14),"",(IF(ISBLANK(FM14),0,IF((($E14=FM14)*($G14=FO14))*NOT(ISBLANK($E14)),1,0)+((($E14&gt;$G14)*(FM14&gt;FO14))+(($E14&lt;$G14)*(FM14&lt;FO14))+(($E14=$G14)*(FM14=FO14)))-ISBLANK($E14)*(FM14=FO14)+(($E14-$G14)=(FM14-FO14)))))</f>
        <v/>
      </c>
      <c r="FQ14" s="37" t="n"/>
      <c r="FR14" s="5" t="n"/>
      <c r="FS14" s="58" t="n"/>
      <c r="FT14" s="58" t="inlineStr">
        <is>
          <t>:</t>
        </is>
      </c>
      <c r="FU14" s="58" t="n"/>
      <c r="FV14" s="17">
        <f>IF(ISBLANK($E14),"",(IF(ISBLANK(FS14),0,IF((($E14=FS14)*($G14=FU14))*NOT(ISBLANK($E14)),1,0)+((($E14&gt;$G14)*(FS14&gt;FU14))+(($E14&lt;$G14)*(FS14&lt;FU14))+(($E14=$G14)*(FS14=FU14)))-ISBLANK($E14)*(FS14=FU14)+(($E14-$G14)=(FS14-FU14)))))</f>
        <v/>
      </c>
      <c r="FW14" s="37" t="n"/>
      <c r="FX14" s="5" t="n"/>
      <c r="FY14" s="58" t="n"/>
      <c r="FZ14" s="58" t="inlineStr">
        <is>
          <t>:</t>
        </is>
      </c>
      <c r="GA14" s="58" t="n"/>
      <c r="GB14" s="17">
        <f>IF(ISBLANK($E14),"",(IF(ISBLANK(FY14),0,IF((($E14=FY14)*($G14=GA14))*NOT(ISBLANK($E14)),1,0)+((($E14&gt;$G14)*(FY14&gt;GA14))+(($E14&lt;$G14)*(FY14&lt;GA14))+(($E14=$G14)*(FY14=GA14)))-ISBLANK($E14)*(FY14=GA14)+(($E14-$G14)=(FY14-GA14)))))</f>
        <v/>
      </c>
      <c r="GC14" s="37" t="n"/>
      <c r="GD14" s="5" t="n"/>
      <c r="GE14" s="58" t="n"/>
      <c r="GF14" s="58" t="inlineStr">
        <is>
          <t>:</t>
        </is>
      </c>
      <c r="GG14" s="58" t="n"/>
      <c r="GH14" s="17">
        <f>IF(ISBLANK($E14),"",(IF(ISBLANK(GE14),0,IF((($E14=GE14)*($G14=GG14))*NOT(ISBLANK($E14)),1,0)+((($E14&gt;$G14)*(GE14&gt;GG14))+(($E14&lt;$G14)*(GE14&lt;GG14))+(($E14=$G14)*(GE14=GG14)))-ISBLANK($E14)*(GE14=GG14)+(($E14-$G14)=(GE14-GG14)))))</f>
        <v/>
      </c>
      <c r="GI14" s="37" t="n"/>
      <c r="GJ14" s="5" t="n"/>
      <c r="GK14" s="58" t="n"/>
      <c r="GL14" s="58" t="inlineStr">
        <is>
          <t>:</t>
        </is>
      </c>
      <c r="GM14" s="58" t="n"/>
      <c r="GN14" s="17">
        <f>IF(ISBLANK($E14),"",(IF(ISBLANK(GK14),0,IF((($E14=GK14)*($G14=GM14))*NOT(ISBLANK($E14)),1,0)+((($E14&gt;$G14)*(GK14&gt;GM14))+(($E14&lt;$G14)*(GK14&lt;GM14))+(($E14=$G14)*(GK14=GM14)))-ISBLANK($E14)*(GK14=GM14)+(($E14-$G14)=(GK14-GM14)))))</f>
        <v/>
      </c>
      <c r="GO14" s="37" t="n"/>
      <c r="GP14" s="5" t="n"/>
      <c r="GQ14" s="58" t="n"/>
      <c r="GR14" s="58" t="inlineStr">
        <is>
          <t>:</t>
        </is>
      </c>
      <c r="GS14" s="58" t="n"/>
      <c r="GT14" s="17">
        <f>IF(ISBLANK($E14),"",(IF(ISBLANK(GQ14),0,IF((($E14=GQ14)*($G14=GS14))*NOT(ISBLANK($E14)),1,0)+((($E14&gt;$G14)*(GQ14&gt;GS14))+(($E14&lt;$G14)*(GQ14&lt;GS14))+(($E14=$G14)*(GQ14=GS14)))-ISBLANK($E14)*(GQ14=GS14)+(($E14-$G14)=(GQ14-GS14)))))</f>
        <v/>
      </c>
      <c r="GU14" s="37" t="n"/>
      <c r="GV14" s="5" t="n"/>
    </row>
    <row r="15" ht="26.1" customHeight="1" thickBot="1">
      <c r="A15" s="62" t="n"/>
      <c r="E15" s="50" t="n"/>
      <c r="F15" s="50" t="n"/>
      <c r="G15" s="50" t="n"/>
      <c r="I15" s="49" t="n"/>
      <c r="J15" s="49" t="n"/>
      <c r="K15" s="49" t="n"/>
      <c r="P15" s="18" t="n"/>
      <c r="Q15" s="35" t="n"/>
      <c r="V15" s="18" t="n"/>
      <c r="W15" s="37" t="n"/>
      <c r="AB15" s="18" t="n"/>
      <c r="AC15" s="37" t="n"/>
      <c r="AH15" s="18" t="n"/>
      <c r="AI15" s="37" t="n"/>
      <c r="AN15" s="18" t="n"/>
      <c r="AO15" s="37" t="n"/>
      <c r="AT15" s="18" t="n"/>
      <c r="AU15" s="37" t="n"/>
      <c r="AZ15" s="18" t="n"/>
      <c r="BA15" s="37" t="n"/>
      <c r="BF15" s="18" t="n"/>
      <c r="BG15" s="37" t="n"/>
      <c r="BL15" s="18" t="n"/>
      <c r="BM15" s="37" t="n"/>
      <c r="BR15" s="18" t="n"/>
      <c r="BS15" s="37" t="n"/>
      <c r="BX15" s="18" t="n"/>
      <c r="BY15" s="37" t="n"/>
      <c r="CD15" s="18" t="n"/>
      <c r="CE15" s="37" t="n"/>
      <c r="CJ15" s="18" t="n"/>
      <c r="CK15" s="37" t="n"/>
      <c r="CP15" s="18" t="n"/>
      <c r="CQ15" s="37" t="n"/>
      <c r="CV15" s="18" t="n"/>
      <c r="CW15" s="37" t="n"/>
      <c r="DB15" s="18" t="n"/>
      <c r="DC15" s="37" t="n"/>
      <c r="DH15" s="18" t="n"/>
      <c r="DI15" s="37" t="n"/>
      <c r="DN15" s="18" t="n"/>
      <c r="DO15" s="37" t="n"/>
      <c r="DT15" s="18" t="n"/>
      <c r="DU15" s="37" t="n"/>
      <c r="DZ15" s="18" t="n"/>
      <c r="EA15" s="37" t="n"/>
      <c r="EF15" s="18" t="n"/>
      <c r="EG15" s="37" t="n"/>
      <c r="EL15" s="18" t="n"/>
      <c r="EM15" s="37" t="n"/>
      <c r="ER15" s="18" t="n"/>
      <c r="ES15" s="37" t="n"/>
      <c r="EX15" s="18" t="n"/>
      <c r="EY15" s="37" t="n"/>
      <c r="FD15" s="18" t="n"/>
      <c r="FE15" s="37" t="n"/>
      <c r="FJ15" s="18" t="n"/>
      <c r="FK15" s="37" t="n"/>
      <c r="FP15" s="18" t="n"/>
      <c r="FQ15" s="37" t="n"/>
      <c r="FV15" s="18" t="n"/>
      <c r="FW15" s="37" t="n"/>
      <c r="GB15" s="18" t="n"/>
      <c r="GC15" s="37" t="n"/>
      <c r="GH15" s="18" t="n"/>
      <c r="GI15" s="37" t="n"/>
      <c r="GN15" s="18" t="n"/>
      <c r="GO15" s="37" t="n"/>
      <c r="GT15" s="18" t="n"/>
      <c r="GU15" s="37" t="n"/>
    </row>
    <row r="16">
      <c r="A16" s="62" t="n"/>
      <c r="E16" s="50" t="n"/>
      <c r="F16" s="50" t="n"/>
      <c r="G16" s="50" t="n"/>
      <c r="I16" s="49" t="n"/>
      <c r="J16" s="49" t="n"/>
      <c r="K16" s="49" t="n"/>
      <c r="P16" s="33" t="n"/>
      <c r="Q16" s="35" t="n"/>
      <c r="V16" s="33" t="n"/>
      <c r="W16" s="37" t="n"/>
      <c r="AB16" s="33" t="n"/>
      <c r="AC16" s="37" t="n"/>
      <c r="AH16" s="33" t="n"/>
      <c r="AI16" s="37" t="n"/>
      <c r="AN16" s="33" t="n"/>
      <c r="AO16" s="37" t="n"/>
      <c r="AT16" s="33" t="n"/>
      <c r="AU16" s="37" t="n"/>
      <c r="AZ16" s="33" t="n"/>
      <c r="BA16" s="37" t="n"/>
      <c r="BF16" s="33" t="n"/>
      <c r="BG16" s="37" t="n"/>
      <c r="BL16" s="33" t="n"/>
      <c r="BM16" s="37" t="n"/>
      <c r="BR16" s="33" t="n"/>
      <c r="BS16" s="37" t="n"/>
      <c r="BX16" s="33" t="n"/>
      <c r="BY16" s="37" t="n"/>
      <c r="CD16" s="33" t="n"/>
      <c r="CE16" s="37" t="n"/>
      <c r="CJ16" s="33" t="n"/>
      <c r="CK16" s="37" t="n"/>
      <c r="CP16" s="33" t="n"/>
      <c r="CQ16" s="37" t="n"/>
      <c r="CV16" s="33" t="n"/>
      <c r="CW16" s="37" t="n"/>
      <c r="DB16" s="33" t="n"/>
      <c r="DC16" s="37" t="n"/>
      <c r="DH16" s="33" t="n"/>
      <c r="DI16" s="37" t="n"/>
      <c r="DN16" s="33" t="n"/>
      <c r="DO16" s="37" t="n"/>
      <c r="DT16" s="33" t="n"/>
      <c r="DU16" s="37" t="n"/>
      <c r="DZ16" s="33" t="n"/>
      <c r="EA16" s="37" t="n"/>
      <c r="EF16" s="33" t="n"/>
      <c r="EG16" s="37" t="n"/>
      <c r="EL16" s="33" t="n"/>
      <c r="EM16" s="37" t="n"/>
      <c r="ER16" s="33" t="n"/>
      <c r="ES16" s="37" t="n"/>
      <c r="EX16" s="33" t="n"/>
      <c r="EY16" s="37" t="n"/>
      <c r="FD16" s="33" t="n"/>
      <c r="FE16" s="37" t="n"/>
      <c r="FJ16" s="33" t="n"/>
      <c r="FK16" s="37" t="n"/>
      <c r="FP16" s="33" t="n"/>
      <c r="FQ16" s="37" t="n"/>
      <c r="FV16" s="33" t="n"/>
      <c r="FW16" s="37" t="n"/>
      <c r="GB16" s="33" t="n"/>
      <c r="GC16" s="37" t="n"/>
      <c r="GH16" s="33" t="n"/>
      <c r="GI16" s="37" t="n"/>
      <c r="GN16" s="33" t="n"/>
      <c r="GO16" s="37" t="n"/>
      <c r="GT16" s="33" t="n"/>
      <c r="GU16" s="37" t="n"/>
    </row>
    <row r="17" ht="15.75" customHeight="1">
      <c r="A17" s="62" t="n"/>
      <c r="B17" s="68" t="inlineStr">
        <is>
          <t>2. Liga</t>
        </is>
      </c>
      <c r="C17" s="46" t="n"/>
      <c r="D17" s="69" t="inlineStr">
        <is>
          <t>34. Spieltag</t>
        </is>
      </c>
      <c r="E17" s="56" t="inlineStr">
        <is>
          <t>Ergeb.</t>
        </is>
      </c>
      <c r="F17" s="52" t="n"/>
      <c r="G17" s="53" t="n"/>
      <c r="H17" s="4" t="n"/>
      <c r="I17" s="48" t="n"/>
      <c r="J17" s="48" t="n"/>
      <c r="K17" s="48" t="n"/>
      <c r="M17" s="60" t="inlineStr">
        <is>
          <t>Tipp</t>
        </is>
      </c>
      <c r="N17" s="59" t="n"/>
      <c r="O17" s="61" t="n"/>
      <c r="P17" s="42" t="inlineStr">
        <is>
          <t>Pkt.</t>
        </is>
      </c>
      <c r="Q17" s="35" t="n"/>
      <c r="S17" s="60" t="inlineStr">
        <is>
          <t>Tipp</t>
        </is>
      </c>
      <c r="T17" s="59" t="n"/>
      <c r="U17" s="61" t="n"/>
      <c r="V17" s="16" t="inlineStr">
        <is>
          <t>Pkt.</t>
        </is>
      </c>
      <c r="W17" s="37" t="n"/>
      <c r="Y17" s="60" t="inlineStr">
        <is>
          <t>Tipp</t>
        </is>
      </c>
      <c r="Z17" s="59" t="n"/>
      <c r="AA17" s="61" t="n"/>
      <c r="AB17" s="16" t="inlineStr">
        <is>
          <t>Pkt.</t>
        </is>
      </c>
      <c r="AC17" s="37" t="n"/>
      <c r="AE17" s="60" t="inlineStr">
        <is>
          <t>Tipp</t>
        </is>
      </c>
      <c r="AF17" s="59" t="n"/>
      <c r="AG17" s="61" t="n"/>
      <c r="AH17" s="16" t="inlineStr">
        <is>
          <t>Pkt.</t>
        </is>
      </c>
      <c r="AI17" s="37" t="n"/>
      <c r="AK17" s="60" t="inlineStr">
        <is>
          <t>Tipp</t>
        </is>
      </c>
      <c r="AL17" s="59" t="n"/>
      <c r="AM17" s="61" t="n"/>
      <c r="AN17" s="16" t="inlineStr">
        <is>
          <t>Pkt.</t>
        </is>
      </c>
      <c r="AO17" s="37" t="n"/>
      <c r="AQ17" s="60" t="inlineStr">
        <is>
          <t>Tipp</t>
        </is>
      </c>
      <c r="AR17" s="59" t="n"/>
      <c r="AS17" s="61" t="n"/>
      <c r="AT17" s="16" t="inlineStr">
        <is>
          <t>Pkt.</t>
        </is>
      </c>
      <c r="AU17" s="37" t="n"/>
      <c r="AW17" s="60" t="inlineStr">
        <is>
          <t>Tipp</t>
        </is>
      </c>
      <c r="AX17" s="59" t="n"/>
      <c r="AY17" s="61" t="n"/>
      <c r="AZ17" s="16" t="inlineStr">
        <is>
          <t>Pkt.</t>
        </is>
      </c>
      <c r="BA17" s="37" t="n"/>
      <c r="BC17" s="60" t="inlineStr">
        <is>
          <t>Tipp</t>
        </is>
      </c>
      <c r="BD17" s="59" t="n"/>
      <c r="BE17" s="61" t="n"/>
      <c r="BF17" s="16" t="inlineStr">
        <is>
          <t>Pkt.</t>
        </is>
      </c>
      <c r="BG17" s="37" t="n"/>
      <c r="BI17" s="60" t="inlineStr">
        <is>
          <t>Tipp</t>
        </is>
      </c>
      <c r="BJ17" s="59" t="n"/>
      <c r="BK17" s="61" t="n"/>
      <c r="BL17" s="16" t="inlineStr">
        <is>
          <t>Pkt.</t>
        </is>
      </c>
      <c r="BM17" s="37" t="n"/>
      <c r="BO17" s="60" t="inlineStr">
        <is>
          <t>Tipp</t>
        </is>
      </c>
      <c r="BP17" s="59" t="n"/>
      <c r="BQ17" s="61" t="n"/>
      <c r="BR17" s="16" t="inlineStr">
        <is>
          <t>Pkt.</t>
        </is>
      </c>
      <c r="BS17" s="37" t="n"/>
      <c r="BU17" s="60" t="inlineStr">
        <is>
          <t>Tipp</t>
        </is>
      </c>
      <c r="BV17" s="59" t="n"/>
      <c r="BW17" s="61" t="n"/>
      <c r="BX17" s="16" t="inlineStr">
        <is>
          <t>Pkt.</t>
        </is>
      </c>
      <c r="BY17" s="37" t="n"/>
      <c r="CA17" s="60" t="inlineStr">
        <is>
          <t>Tipp</t>
        </is>
      </c>
      <c r="CB17" s="59" t="n"/>
      <c r="CC17" s="61" t="n"/>
      <c r="CD17" s="16" t="inlineStr">
        <is>
          <t>Pkt.</t>
        </is>
      </c>
      <c r="CE17" s="37" t="n"/>
      <c r="CG17" s="60" t="inlineStr">
        <is>
          <t>Tipp</t>
        </is>
      </c>
      <c r="CH17" s="59" t="n"/>
      <c r="CI17" s="61" t="n"/>
      <c r="CJ17" s="16" t="inlineStr">
        <is>
          <t>Pkt.</t>
        </is>
      </c>
      <c r="CK17" s="37" t="n"/>
      <c r="CM17" s="60" t="inlineStr">
        <is>
          <t>Tipp</t>
        </is>
      </c>
      <c r="CN17" s="59" t="n"/>
      <c r="CO17" s="61" t="n"/>
      <c r="CP17" s="16" t="inlineStr">
        <is>
          <t>Pkt.</t>
        </is>
      </c>
      <c r="CQ17" s="37" t="n"/>
      <c r="CS17" s="60" t="inlineStr">
        <is>
          <t>Tipp</t>
        </is>
      </c>
      <c r="CT17" s="59" t="n"/>
      <c r="CU17" s="61" t="n"/>
      <c r="CV17" s="16" t="inlineStr">
        <is>
          <t>Pkt.</t>
        </is>
      </c>
      <c r="CW17" s="37" t="n"/>
      <c r="CY17" s="60" t="inlineStr">
        <is>
          <t>Tipp</t>
        </is>
      </c>
      <c r="CZ17" s="59" t="n"/>
      <c r="DA17" s="61" t="n"/>
      <c r="DB17" s="16" t="inlineStr">
        <is>
          <t>Pkt.</t>
        </is>
      </c>
      <c r="DC17" s="37" t="n"/>
      <c r="DE17" s="60" t="inlineStr">
        <is>
          <t>Tipp</t>
        </is>
      </c>
      <c r="DF17" s="59" t="n"/>
      <c r="DG17" s="61" t="n"/>
      <c r="DH17" s="16" t="inlineStr">
        <is>
          <t>Pkt.</t>
        </is>
      </c>
      <c r="DI17" s="37" t="n"/>
      <c r="DK17" s="60" t="inlineStr">
        <is>
          <t>Tipp</t>
        </is>
      </c>
      <c r="DL17" s="59" t="n"/>
      <c r="DM17" s="61" t="n"/>
      <c r="DN17" s="16" t="inlineStr">
        <is>
          <t>Pkt.</t>
        </is>
      </c>
      <c r="DO17" s="37" t="n"/>
      <c r="DQ17" s="60" t="inlineStr">
        <is>
          <t>Tipp</t>
        </is>
      </c>
      <c r="DR17" s="59" t="n"/>
      <c r="DS17" s="61" t="n"/>
      <c r="DT17" s="16" t="inlineStr">
        <is>
          <t>Pkt.</t>
        </is>
      </c>
      <c r="DU17" s="37" t="n"/>
      <c r="DW17" s="60" t="inlineStr">
        <is>
          <t>Tipp</t>
        </is>
      </c>
      <c r="DX17" s="59" t="n"/>
      <c r="DY17" s="61" t="n"/>
      <c r="DZ17" s="16" t="inlineStr">
        <is>
          <t>Pkt.</t>
        </is>
      </c>
      <c r="EA17" s="37" t="n"/>
      <c r="EC17" s="60" t="inlineStr">
        <is>
          <t>Tipp</t>
        </is>
      </c>
      <c r="ED17" s="59" t="n"/>
      <c r="EE17" s="61" t="n"/>
      <c r="EF17" s="16" t="inlineStr">
        <is>
          <t>Pkt.</t>
        </is>
      </c>
      <c r="EG17" s="37" t="n"/>
      <c r="EI17" s="60" t="inlineStr">
        <is>
          <t>Tipp</t>
        </is>
      </c>
      <c r="EJ17" s="59" t="n"/>
      <c r="EK17" s="61" t="n"/>
      <c r="EL17" s="16" t="inlineStr">
        <is>
          <t>Pkt.</t>
        </is>
      </c>
      <c r="EM17" s="37" t="n"/>
      <c r="EO17" s="60" t="inlineStr">
        <is>
          <t>Tipp</t>
        </is>
      </c>
      <c r="EP17" s="59" t="n"/>
      <c r="EQ17" s="61" t="n"/>
      <c r="ER17" s="16" t="inlineStr">
        <is>
          <t>Pkt.</t>
        </is>
      </c>
      <c r="ES17" s="37" t="n"/>
      <c r="EU17" s="60" t="inlineStr">
        <is>
          <t>Tipp</t>
        </is>
      </c>
      <c r="EV17" s="59" t="n"/>
      <c r="EW17" s="61" t="n"/>
      <c r="EX17" s="16" t="inlineStr">
        <is>
          <t>Pkt.</t>
        </is>
      </c>
      <c r="EY17" s="37" t="n"/>
      <c r="FA17" s="60" t="inlineStr">
        <is>
          <t>Tipp</t>
        </is>
      </c>
      <c r="FB17" s="59" t="n"/>
      <c r="FC17" s="61" t="n"/>
      <c r="FD17" s="16" t="inlineStr">
        <is>
          <t>Pkt.</t>
        </is>
      </c>
      <c r="FE17" s="37" t="n"/>
      <c r="FG17" s="60" t="inlineStr">
        <is>
          <t>Tipp</t>
        </is>
      </c>
      <c r="FH17" s="59" t="n"/>
      <c r="FI17" s="61" t="n"/>
      <c r="FJ17" s="16" t="inlineStr">
        <is>
          <t>Pkt.</t>
        </is>
      </c>
      <c r="FK17" s="37" t="n"/>
      <c r="FM17" s="60" t="inlineStr">
        <is>
          <t>Tipp</t>
        </is>
      </c>
      <c r="FN17" s="59" t="n"/>
      <c r="FO17" s="61" t="n"/>
      <c r="FP17" s="16" t="inlineStr">
        <is>
          <t>Pkt.</t>
        </is>
      </c>
      <c r="FQ17" s="37" t="n"/>
      <c r="FS17" s="60" t="inlineStr">
        <is>
          <t>Tipp</t>
        </is>
      </c>
      <c r="FT17" s="59" t="n"/>
      <c r="FU17" s="61" t="n"/>
      <c r="FV17" s="16" t="inlineStr">
        <is>
          <t>Pkt.</t>
        </is>
      </c>
      <c r="FW17" s="37" t="n"/>
      <c r="FY17" s="60" t="inlineStr">
        <is>
          <t>Tipp</t>
        </is>
      </c>
      <c r="FZ17" s="59" t="n"/>
      <c r="GA17" s="61" t="n"/>
      <c r="GB17" s="16" t="inlineStr">
        <is>
          <t>Pkt.</t>
        </is>
      </c>
      <c r="GC17" s="37" t="n"/>
      <c r="GE17" s="60" t="inlineStr">
        <is>
          <t>Tipp</t>
        </is>
      </c>
      <c r="GF17" s="59" t="n"/>
      <c r="GG17" s="61" t="n"/>
      <c r="GH17" s="16" t="inlineStr">
        <is>
          <t>Pkt.</t>
        </is>
      </c>
      <c r="GI17" s="37" t="n"/>
      <c r="GK17" s="60" t="inlineStr">
        <is>
          <t>Tipp</t>
        </is>
      </c>
      <c r="GL17" s="59" t="n"/>
      <c r="GM17" s="61" t="n"/>
      <c r="GN17" s="16" t="inlineStr">
        <is>
          <t>Pkt.</t>
        </is>
      </c>
      <c r="GO17" s="37" t="n"/>
      <c r="GQ17" s="60" t="inlineStr">
        <is>
          <t>Tipp</t>
        </is>
      </c>
      <c r="GR17" s="59" t="n"/>
      <c r="GS17" s="61" t="n"/>
      <c r="GT17" s="16" t="inlineStr">
        <is>
          <t>Pkt.</t>
        </is>
      </c>
      <c r="GU17" s="37" t="n"/>
    </row>
    <row r="18" ht="18" customHeight="1">
      <c r="A18" s="62" t="n"/>
      <c r="B18" s="70" t="n"/>
      <c r="C18" s="78" t="inlineStr">
        <is>
          <t>:</t>
        </is>
      </c>
      <c r="D18" s="70" t="n"/>
      <c r="E18" s="54" t="n"/>
      <c r="F18" s="55" t="inlineStr">
        <is>
          <t>:</t>
        </is>
      </c>
      <c r="G18" s="55" t="n"/>
      <c r="I18" s="49">
        <f>COUNTIF(P18,3)+COUNTIF(V18,3)+COUNTIF(AB18,3)+COUNTIF(AH18,3)+COUNTIF(AN18,3)+COUNTIF(AT18,3)+COUNTIF(AZ18,3)+COUNTIF(BF18,3)+COUNTIF(BL18,3)+COUNTIF(BR18,3)+COUNTIF(BX18,3)+COUNTIF(CD18,3)+COUNTIF(CJ18,3)+COUNTIF(CP18,3)+COUNTIF(CV18,3)+COUNTIF(DB18,3)+COUNTIF(DH18,3)+COUNTIF(DN18,3)+COUNTIF(DT18,3)+COUNTIF(DZ18,3)+COUNTIF(EF18,3)+COUNTIF(EL18,3)+COUNTIF(ER18,3)+COUNTIF(EX18,3)+COUNTIF(FD18,3)+COUNTIF(FJ18,3)+COUNTIF(FP18,3)+COUNTIF(FV18,3)+COUNTIF(GB18,3)+COUNTIF(GH18,3)+COUNTIF(GN18,3)+COUNTIF(GT18,3)</f>
        <v/>
      </c>
      <c r="J18" s="49">
        <f>COUNTIF(P18,2)+COUNTIF(V18,2)+COUNTIF(AB18,2)+COUNTIF(AH18,2)+COUNTIF(AN18,2)+COUNTIF(AT18,2)+COUNTIF(AZ18,2)+COUNTIF(BF18,2)+COUNTIF(BL18,2)+COUNTIF(BR18,2)+COUNTIF(BX18,2)+COUNTIF(CD18,2)+COUNTIF(CJ18,2)+COUNTIF(CP18,2)+COUNTIF(CV18,2)+COUNTIF(DB18,2)+COUNTIF(DH18,2)+COUNTIF(DN18,2)+COUNTIF(DT18,2)+COUNTIF(DZ18,2)+COUNTIF(EF18,2)+COUNTIF(EL18,2)+COUNTIF(ER18,2)+COUNTIF(EX18,2)+COUNTIF(FD18,2)+COUNTIF(FJ18,2)+COUNTIF(FP18,2)+COUNTIF(FV18,2)+COUNTIF(GB18,2)+COUNTIF(GH18,2)+COUNTIF(GN18,2)+COUNTIF(GT18,2)</f>
        <v/>
      </c>
      <c r="K18" s="49">
        <f>COUNTIF(P18,1)+COUNTIF(V18,1)+COUNTIF(AB18,1)+COUNTIF(AH18,1)+COUNTIF(AN18,1)+COUNTIF(AT18,1)+COUNTIF(AZ18,1)+COUNTIF(BF18,1)+COUNTIF(BL18,1)+COUNTIF(BR18,1)+COUNTIF(BX18,1)+COUNTIF(CD18,1)+COUNTIF(CJ18,1)+COUNTIF(CP18,1)+COUNTIF(CV18,1)+COUNTIF(DB18,1)+COUNTIF(DH18,1)+COUNTIF(DN18,1)+COUNTIF(DT18,1)+COUNTIF(DZ18,1)+COUNTIF(EF18,1)+COUNTIF(EL18,1)+COUNTIF(ER18,1)+COUNTIF(EX18,1)+COUNTIF(FD18,1)+COUNTIF(FJ18,1)+COUNTIF(FP18,1)+COUNTIF(FV18,1)+COUNTIF(GB18,1)+COUNTIF(GH18,1)+COUNTIF(GN18,1)+COUNTIF(GT18,1)</f>
        <v/>
      </c>
      <c r="L18" s="5" t="n"/>
      <c r="M18" s="2" t="n"/>
      <c r="N18" s="58" t="inlineStr">
        <is>
          <t>:</t>
        </is>
      </c>
      <c r="O18" s="2" t="n"/>
      <c r="P18" s="17">
        <f>IF(ISBLANK($E18),"",(IF(ISBLANK(M18),0,IF((($E18=M18)*($G18=O18))*NOT(ISBLANK($E18)),1,0)+((($E18&gt;$G18)*(M18&gt;O18))+(($E18&lt;$G18)*(M18&lt;O18))+(($E18=$G18)*(M18=O18)))-ISBLANK($E18)*(M18=O18)+(($E18-$G18)=(M18-O18)))))</f>
        <v/>
      </c>
      <c r="Q18" s="35" t="n"/>
      <c r="R18" s="5" t="n"/>
      <c r="S18" s="2" t="n"/>
      <c r="T18" s="58" t="inlineStr">
        <is>
          <t>:</t>
        </is>
      </c>
      <c r="U18" s="2" t="n"/>
      <c r="V18" s="17">
        <f>IF(ISBLANK($E18),"",(IF(ISBLANK(S18),0,IF((($E18=S18)*($G18=U18))*NOT(ISBLANK($E18)),1,0)+((($E18&gt;$G18)*(S18&gt;U18))+(($E18&lt;$G18)*(S18&lt;U18))+(($E18=$G18)*(S18=U18)))-ISBLANK($E18)*(S18=U18)+(($E18-$G18)=(S18-U18)))))</f>
        <v/>
      </c>
      <c r="W18" s="37" t="n"/>
      <c r="X18" s="5" t="n"/>
      <c r="Y18" s="2" t="n"/>
      <c r="Z18" s="58" t="inlineStr">
        <is>
          <t>:</t>
        </is>
      </c>
      <c r="AA18" s="2" t="n"/>
      <c r="AB18" s="17">
        <f>IF(ISBLANK($E18),"",(IF(ISBLANK(Y18),0,IF((($E18=Y18)*($G18=AA18))*NOT(ISBLANK($E18)),1,0)+((($E18&gt;$G18)*(Y18&gt;AA18))+(($E18&lt;$G18)*(Y18&lt;AA18))+(($E18=$G18)*(Y18=AA18)))-ISBLANK($E18)*(Y18=AA18)+(($E18-$G18)=(Y18-AA18)))))</f>
        <v/>
      </c>
      <c r="AC18" s="37" t="n"/>
      <c r="AD18" s="5" t="n"/>
      <c r="AE18" s="2" t="n"/>
      <c r="AF18" s="58" t="inlineStr">
        <is>
          <t>:</t>
        </is>
      </c>
      <c r="AG18" s="2" t="n"/>
      <c r="AH18" s="17">
        <f>IF(ISBLANK($E18),"",(IF(ISBLANK(AE18),0,IF((($E18=AE18)*($G18=AG18))*NOT(ISBLANK($E18)),1,0)+((($E18&gt;$G18)*(AE18&gt;AG18))+(($E18&lt;$G18)*(AE18&lt;AG18))+(($E18=$G18)*(AE18=AG18)))-ISBLANK($E18)*(AE18=AG18)+(($E18-$G18)=(AE18-AG18)))))</f>
        <v/>
      </c>
      <c r="AI18" s="37" t="n"/>
      <c r="AJ18" s="5" t="n"/>
      <c r="AK18" s="2" t="n"/>
      <c r="AL18" s="58" t="inlineStr">
        <is>
          <t>:</t>
        </is>
      </c>
      <c r="AM18" s="2" t="n"/>
      <c r="AN18" s="17">
        <f>IF(ISBLANK($E18),"",(IF(ISBLANK(AK18),0,IF((($E18=AK18)*($G18=AM18))*NOT(ISBLANK($E18)),1,0)+((($E18&gt;$G18)*(AK18&gt;AM18))+(($E18&lt;$G18)*(AK18&lt;AM18))+(($E18=$G18)*(AK18=AM18)))-ISBLANK($E18)*(AK18=AM18)+(($E18-$G18)=(AK18-AM18)))))</f>
        <v/>
      </c>
      <c r="AO18" s="37" t="n"/>
      <c r="AP18" s="5" t="n"/>
      <c r="AQ18" s="2" t="n"/>
      <c r="AR18" s="58" t="inlineStr">
        <is>
          <t>:</t>
        </is>
      </c>
      <c r="AS18" s="2" t="n"/>
      <c r="AT18" s="17">
        <f>IF(ISBLANK($E18),"",(IF(ISBLANK(AQ18),0,IF((($E18=AQ18)*($G18=AS18))*NOT(ISBLANK($E18)),1,0)+((($E18&gt;$G18)*(AQ18&gt;AS18))+(($E18&lt;$G18)*(AQ18&lt;AS18))+(($E18=$G18)*(AQ18=AS18)))-ISBLANK($E18)*(AQ18=AS18)+(($E18-$G18)=(AQ18-AS18)))))</f>
        <v/>
      </c>
      <c r="AU18" s="37" t="n"/>
      <c r="AV18" s="5" t="n"/>
      <c r="AW18" s="2" t="n"/>
      <c r="AX18" s="58" t="inlineStr">
        <is>
          <t>:</t>
        </is>
      </c>
      <c r="AY18" s="2" t="n"/>
      <c r="AZ18" s="17">
        <f>IF(ISBLANK($E18),"",(IF(ISBLANK(AW18),0,IF((($E18=AW18)*($G18=AY18))*NOT(ISBLANK($E18)),1,0)+((($E18&gt;$G18)*(AW18&gt;AY18))+(($E18&lt;$G18)*(AW18&lt;AY18))+(($E18=$G18)*(AW18=AY18)))-ISBLANK($E18)*(AW18=AY18)+(($E18-$G18)=(AW18-AY18)))))</f>
        <v/>
      </c>
      <c r="BA18" s="37" t="n"/>
      <c r="BB18" s="5" t="n"/>
      <c r="BC18" s="2" t="n"/>
      <c r="BD18" s="58" t="inlineStr">
        <is>
          <t>:</t>
        </is>
      </c>
      <c r="BE18" s="2" t="n"/>
      <c r="BF18" s="17">
        <f>IF(ISBLANK($E18),"",(IF(ISBLANK(BC18),0,IF((($E18=BC18)*($G18=BE18))*NOT(ISBLANK($E18)),1,0)+((($E18&gt;$G18)*(BC18&gt;BE18))+(($E18&lt;$G18)*(BC18&lt;BE18))+(($E18=$G18)*(BC18=BE18)))-ISBLANK($E18)*(BC18=BE18)+(($E18-$G18)=(BC18-BE18)))))</f>
        <v/>
      </c>
      <c r="BG18" s="37" t="n"/>
      <c r="BH18" s="5" t="n"/>
      <c r="BI18" s="2" t="n"/>
      <c r="BJ18" s="58" t="inlineStr">
        <is>
          <t>:</t>
        </is>
      </c>
      <c r="BK18" s="2" t="n"/>
      <c r="BL18" s="17">
        <f>IF(ISBLANK($E18),"",(IF(ISBLANK(BI18),0,IF((($E18=BI18)*($G18=BK18))*NOT(ISBLANK($E18)),1,0)+((($E18&gt;$G18)*(BI18&gt;BK18))+(($E18&lt;$G18)*(BI18&lt;BK18))+(($E18=$G18)*(BI18=BK18)))-ISBLANK($E18)*(BI18=BK18)+(($E18-$G18)=(BI18-BK18)))))</f>
        <v/>
      </c>
      <c r="BM18" s="37" t="n"/>
      <c r="BN18" s="5" t="n"/>
      <c r="BO18" s="2" t="n"/>
      <c r="BP18" s="58" t="inlineStr">
        <is>
          <t>:</t>
        </is>
      </c>
      <c r="BQ18" s="2" t="n"/>
      <c r="BR18" s="17">
        <f>IF(ISBLANK($E18),"",(IF(ISBLANK(BO18),0,IF((($E18=BO18)*($G18=BQ18))*NOT(ISBLANK($E18)),1,0)+((($E18&gt;$G18)*(BO18&gt;BQ18))+(($E18&lt;$G18)*(BO18&lt;BQ18))+(($E18=$G18)*(BO18=BQ18)))-ISBLANK($E18)*(BO18=BQ18)+(($E18-$G18)=(BO18-BQ18)))))</f>
        <v/>
      </c>
      <c r="BS18" s="37" t="n"/>
      <c r="BT18" s="5" t="n"/>
      <c r="BU18" s="2" t="n"/>
      <c r="BV18" s="58" t="inlineStr">
        <is>
          <t>:</t>
        </is>
      </c>
      <c r="BW18" s="2" t="n"/>
      <c r="BX18" s="17">
        <f>IF(ISBLANK($E18),"",(IF(ISBLANK(BU18),0,IF((($E18=BU18)*($G18=BW18))*NOT(ISBLANK($E18)),1,0)+((($E18&gt;$G18)*(BU18&gt;BW18))+(($E18&lt;$G18)*(BU18&lt;BW18))+(($E18=$G18)*(BU18=BW18)))-ISBLANK($E18)*(BU18=BW18)+(($E18-$G18)=(BU18-BW18)))))</f>
        <v/>
      </c>
      <c r="BY18" s="37" t="n"/>
      <c r="BZ18" s="5" t="n"/>
      <c r="CA18" s="2" t="n"/>
      <c r="CB18" s="58" t="inlineStr">
        <is>
          <t>:</t>
        </is>
      </c>
      <c r="CC18" s="2" t="n"/>
      <c r="CD18" s="17">
        <f>IF(ISBLANK($E18),"",(IF(ISBLANK(CA18),0,IF((($E18=CA18)*($G18=CC18))*NOT(ISBLANK($E18)),1,0)+((($E18&gt;$G18)*(CA18&gt;CC18))+(($E18&lt;$G18)*(CA18&lt;CC18))+(($E18=$G18)*(CA18=CC18)))-ISBLANK($E18)*(CA18=CC18)+(($E18-$G18)=(CA18-CC18)))))</f>
        <v/>
      </c>
      <c r="CE18" s="37" t="n"/>
      <c r="CF18" s="5" t="n"/>
      <c r="CG18" s="2" t="n"/>
      <c r="CH18" s="58" t="inlineStr">
        <is>
          <t>:</t>
        </is>
      </c>
      <c r="CI18" s="2" t="n"/>
      <c r="CJ18" s="17">
        <f>IF(ISBLANK($E18),"",(IF(ISBLANK(CG18),0,IF((($E18=CG18)*($G18=CI18))*NOT(ISBLANK($E18)),1,0)+((($E18&gt;$G18)*(CG18&gt;CI18))+(($E18&lt;$G18)*(CG18&lt;CI18))+(($E18=$G18)*(CG18=CI18)))-ISBLANK($E18)*(CG18=CI18)+(($E18-$G18)=(CG18-CI18)))))</f>
        <v/>
      </c>
      <c r="CK18" s="37" t="n"/>
      <c r="CL18" s="5" t="n"/>
      <c r="CM18" s="2" t="n"/>
      <c r="CN18" s="58" t="inlineStr">
        <is>
          <t>:</t>
        </is>
      </c>
      <c r="CO18" s="2" t="n"/>
      <c r="CP18" s="17">
        <f>IF(ISBLANK($E18),"",(IF(ISBLANK(CM18),0,IF((($E18=CM18)*($G18=CO18))*NOT(ISBLANK($E18)),1,0)+((($E18&gt;$G18)*(CM18&gt;CO18))+(($E18&lt;$G18)*(CM18&lt;CO18))+(($E18=$G18)*(CM18=CO18)))-ISBLANK($E18)*(CM18=CO18)+(($E18-$G18)=(CM18-CO18)))))</f>
        <v/>
      </c>
      <c r="CQ18" s="37" t="n"/>
      <c r="CR18" s="5" t="n"/>
      <c r="CS18" s="2" t="n"/>
      <c r="CT18" s="58" t="inlineStr">
        <is>
          <t>:</t>
        </is>
      </c>
      <c r="CU18" s="2" t="n"/>
      <c r="CV18" s="17">
        <f>IF(ISBLANK($E18),"",(IF(ISBLANK(CS18),0,IF((($E18=CS18)*($G18=CU18))*NOT(ISBLANK($E18)),1,0)+((($E18&gt;$G18)*(CS18&gt;CU18))+(($E18&lt;$G18)*(CS18&lt;CU18))+(($E18=$G18)*(CS18=CU18)))-ISBLANK($E18)*(CS18=CU18)+(($E18-$G18)=(CS18-CU18)))))</f>
        <v/>
      </c>
      <c r="CW18" s="37" t="n"/>
      <c r="CX18" s="5" t="n"/>
      <c r="CY18" s="2" t="n"/>
      <c r="CZ18" s="58" t="inlineStr">
        <is>
          <t>:</t>
        </is>
      </c>
      <c r="DA18" s="2" t="n"/>
      <c r="DB18" s="17">
        <f>IF(ISBLANK($E18),"",(IF(ISBLANK(CY18),0,IF((($E18=CY18)*($G18=DA18))*NOT(ISBLANK($E18)),1,0)+((($E18&gt;$G18)*(CY18&gt;DA18))+(($E18&lt;$G18)*(CY18&lt;DA18))+(($E18=$G18)*(CY18=DA18)))-ISBLANK($E18)*(CY18=DA18)+(($E18-$G18)=(CY18-DA18)))))</f>
        <v/>
      </c>
      <c r="DC18" s="37" t="n"/>
      <c r="DD18" s="5" t="n"/>
      <c r="DE18" s="2" t="n"/>
      <c r="DF18" s="58" t="inlineStr">
        <is>
          <t>:</t>
        </is>
      </c>
      <c r="DG18" s="2" t="n"/>
      <c r="DH18" s="17">
        <f>IF(ISBLANK($E18),"",(IF(ISBLANK(DE18),0,IF((($E18=DE18)*($G18=DG18))*NOT(ISBLANK($E18)),1,0)+((($E18&gt;$G18)*(DE18&gt;DG18))+(($E18&lt;$G18)*(DE18&lt;DG18))+(($E18=$G18)*(DE18=DG18)))-ISBLANK($E18)*(DE18=DG18)+(($E18-$G18)=(DE18-DG18)))))</f>
        <v/>
      </c>
      <c r="DI18" s="37" t="n"/>
      <c r="DJ18" s="5" t="n"/>
      <c r="DK18" s="2" t="n"/>
      <c r="DL18" s="58" t="inlineStr">
        <is>
          <t>:</t>
        </is>
      </c>
      <c r="DM18" s="2" t="n"/>
      <c r="DN18" s="17">
        <f>IF(ISBLANK($E18),"",(IF(ISBLANK(DK18),0,IF((($E18=DK18)*($G18=DM18))*NOT(ISBLANK($E18)),1,0)+((($E18&gt;$G18)*(DK18&gt;DM18))+(($E18&lt;$G18)*(DK18&lt;DM18))+(($E18=$G18)*(DK18=DM18)))-ISBLANK($E18)*(DK18=DM18)+(($E18-$G18)=(DK18-DM18)))))</f>
        <v/>
      </c>
      <c r="DO18" s="37" t="n"/>
      <c r="DP18" s="5" t="n"/>
      <c r="DQ18" s="2" t="n"/>
      <c r="DR18" s="58" t="inlineStr">
        <is>
          <t>:</t>
        </is>
      </c>
      <c r="DS18" s="2" t="n"/>
      <c r="DT18" s="17">
        <f>IF(ISBLANK($E18),"",(IF(ISBLANK(DQ18),0,IF((($E18=DQ18)*($G18=DS18))*NOT(ISBLANK($E18)),1,0)+((($E18&gt;$G18)*(DQ18&gt;DS18))+(($E18&lt;$G18)*(DQ18&lt;DS18))+(($E18=$G18)*(DQ18=DS18)))-ISBLANK($E18)*(DQ18=DS18)+(($E18-$G18)=(DQ18-DS18)))))</f>
        <v/>
      </c>
      <c r="DU18" s="37" t="n"/>
      <c r="DV18" s="5" t="n"/>
      <c r="DW18" s="2" t="n"/>
      <c r="DX18" s="58" t="inlineStr">
        <is>
          <t>:</t>
        </is>
      </c>
      <c r="DY18" s="2" t="n"/>
      <c r="DZ18" s="17">
        <f>IF(ISBLANK($E18),"",(IF(ISBLANK(DW18),0,IF((($E18=DW18)*($G18=DY18))*NOT(ISBLANK($E18)),1,0)+((($E18&gt;$G18)*(DW18&gt;DY18))+(($E18&lt;$G18)*(DW18&lt;DY18))+(($E18=$G18)*(DW18=DY18)))-ISBLANK($E18)*(DW18=DY18)+(($E18-$G18)=(DW18-DY18)))))</f>
        <v/>
      </c>
      <c r="EA18" s="37" t="n"/>
      <c r="EB18" s="5" t="n"/>
      <c r="EC18" s="2" t="n"/>
      <c r="ED18" s="58" t="inlineStr">
        <is>
          <t>:</t>
        </is>
      </c>
      <c r="EE18" s="2" t="n"/>
      <c r="EF18" s="17">
        <f>IF(ISBLANK($E18),"",(IF(ISBLANK(EC18),0,IF((($E18=EC18)*($G18=EE18))*NOT(ISBLANK($E18)),1,0)+((($E18&gt;$G18)*(EC18&gt;EE18))+(($E18&lt;$G18)*(EC18&lt;EE18))+(($E18=$G18)*(EC18=EE18)))-ISBLANK($E18)*(EC18=EE18)+(($E18-$G18)=(EC18-EE18)))))</f>
        <v/>
      </c>
      <c r="EG18" s="37" t="n"/>
      <c r="EH18" s="5" t="n"/>
      <c r="EI18" s="2" t="n"/>
      <c r="EJ18" s="58" t="inlineStr">
        <is>
          <t>:</t>
        </is>
      </c>
      <c r="EK18" s="2" t="n"/>
      <c r="EL18" s="17">
        <f>IF(ISBLANK($E18),"",(IF(ISBLANK(EI18),0,IF((($E18=EI18)*($G18=EK18))*NOT(ISBLANK($E18)),1,0)+((($E18&gt;$G18)*(EI18&gt;EK18))+(($E18&lt;$G18)*(EI18&lt;EK18))+(($E18=$G18)*(EI18=EK18)))-ISBLANK($E18)*(EI18=EK18)+(($E18-$G18)=(EI18-EK18)))))</f>
        <v/>
      </c>
      <c r="EM18" s="37" t="n"/>
      <c r="EN18" s="5" t="n"/>
      <c r="EO18" s="2" t="n"/>
      <c r="EP18" s="58" t="inlineStr">
        <is>
          <t>:</t>
        </is>
      </c>
      <c r="EQ18" s="2" t="n"/>
      <c r="ER18" s="17">
        <f>IF(ISBLANK($E18),"",(IF(ISBLANK(EO18),0,IF((($E18=EO18)*($G18=EQ18))*NOT(ISBLANK($E18)),1,0)+((($E18&gt;$G18)*(EO18&gt;EQ18))+(($E18&lt;$G18)*(EO18&lt;EQ18))+(($E18=$G18)*(EO18=EQ18)))-ISBLANK($E18)*(EO18=EQ18)+(($E18-$G18)=(EO18-EQ18)))))</f>
        <v/>
      </c>
      <c r="ES18" s="37" t="n"/>
      <c r="ET18" s="5" t="n"/>
      <c r="EU18" s="2" t="n"/>
      <c r="EV18" s="58" t="inlineStr">
        <is>
          <t>:</t>
        </is>
      </c>
      <c r="EW18" s="2" t="n"/>
      <c r="EX18" s="17">
        <f>IF(ISBLANK($E18),"",(IF(ISBLANK(EU18),0,IF((($E18=EU18)*($G18=EW18))*NOT(ISBLANK($E18)),1,0)+((($E18&gt;$G18)*(EU18&gt;EW18))+(($E18&lt;$G18)*(EU18&lt;EW18))+(($E18=$G18)*(EU18=EW18)))-ISBLANK($E18)*(EU18=EW18)+(($E18-$G18)=(EU18-EW18)))))</f>
        <v/>
      </c>
      <c r="EY18" s="37" t="n"/>
      <c r="EZ18" s="5" t="n"/>
      <c r="FA18" s="2" t="n"/>
      <c r="FB18" s="58" t="inlineStr">
        <is>
          <t>:</t>
        </is>
      </c>
      <c r="FC18" s="2" t="n"/>
      <c r="FD18" s="17">
        <f>IF(ISBLANK($E18),"",(IF(ISBLANK(FA18),0,IF((($E18=FA18)*($G18=FC18))*NOT(ISBLANK($E18)),1,0)+((($E18&gt;$G18)*(FA18&gt;FC18))+(($E18&lt;$G18)*(FA18&lt;FC18))+(($E18=$G18)*(FA18=FC18)))-ISBLANK($E18)*(FA18=FC18)+(($E18-$G18)=(FA18-FC18)))))</f>
        <v/>
      </c>
      <c r="FE18" s="37" t="n"/>
      <c r="FF18" s="5" t="n"/>
      <c r="FG18" s="2" t="n"/>
      <c r="FH18" s="58" t="inlineStr">
        <is>
          <t>:</t>
        </is>
      </c>
      <c r="FI18" s="2" t="n"/>
      <c r="FJ18" s="17">
        <f>IF(ISBLANK($E18),"",(IF(ISBLANK(FG18),0,IF((($E18=FG18)*($G18=FI18))*NOT(ISBLANK($E18)),1,0)+((($E18&gt;$G18)*(FG18&gt;FI18))+(($E18&lt;$G18)*(FG18&lt;FI18))+(($E18=$G18)*(FG18=FI18)))-ISBLANK($E18)*(FG18=FI18)+(($E18-$G18)=(FG18-FI18)))))</f>
        <v/>
      </c>
      <c r="FK18" s="37" t="n"/>
      <c r="FL18" s="5" t="n"/>
      <c r="FM18" s="2" t="n"/>
      <c r="FN18" s="58" t="inlineStr">
        <is>
          <t>:</t>
        </is>
      </c>
      <c r="FO18" s="2" t="n"/>
      <c r="FP18" s="17">
        <f>IF(ISBLANK($E18),"",(IF(ISBLANK(FM18),0,IF((($E18=FM18)*($G18=FO18))*NOT(ISBLANK($E18)),1,0)+((($E18&gt;$G18)*(FM18&gt;FO18))+(($E18&lt;$G18)*(FM18&lt;FO18))+(($E18=$G18)*(FM18=FO18)))-ISBLANK($E18)*(FM18=FO18)+(($E18-$G18)=(FM18-FO18)))))</f>
        <v/>
      </c>
      <c r="FQ18" s="37" t="n"/>
      <c r="FR18" s="5" t="n"/>
      <c r="FS18" s="2" t="n"/>
      <c r="FT18" s="58" t="inlineStr">
        <is>
          <t>:</t>
        </is>
      </c>
      <c r="FU18" s="2" t="n"/>
      <c r="FV18" s="17">
        <f>IF(ISBLANK($E18),"",(IF(ISBLANK(FS18),0,IF((($E18=FS18)*($G18=FU18))*NOT(ISBLANK($E18)),1,0)+((($E18&gt;$G18)*(FS18&gt;FU18))+(($E18&lt;$G18)*(FS18&lt;FU18))+(($E18=$G18)*(FS18=FU18)))-ISBLANK($E18)*(FS18=FU18)+(($E18-$G18)=(FS18-FU18)))))</f>
        <v/>
      </c>
      <c r="FW18" s="37" t="n"/>
      <c r="FX18" s="5" t="n"/>
      <c r="FY18" s="2" t="n"/>
      <c r="FZ18" s="58" t="inlineStr">
        <is>
          <t>:</t>
        </is>
      </c>
      <c r="GA18" s="2" t="n"/>
      <c r="GB18" s="17">
        <f>IF(ISBLANK($E18),"",(IF(ISBLANK(FY18),0,IF((($E18=FY18)*($G18=GA18))*NOT(ISBLANK($E18)),1,0)+((($E18&gt;$G18)*(FY18&gt;GA18))+(($E18&lt;$G18)*(FY18&lt;GA18))+(($E18=$G18)*(FY18=GA18)))-ISBLANK($E18)*(FY18=GA18)+(($E18-$G18)=(FY18-GA18)))))</f>
        <v/>
      </c>
      <c r="GC18" s="37" t="n"/>
      <c r="GD18" s="5" t="n"/>
      <c r="GE18" s="2" t="n"/>
      <c r="GF18" s="58" t="inlineStr">
        <is>
          <t>:</t>
        </is>
      </c>
      <c r="GG18" s="2" t="n"/>
      <c r="GH18" s="17">
        <f>IF(ISBLANK($E18),"",(IF(ISBLANK(GE18),0,IF((($E18=GE18)*($G18=GG18))*NOT(ISBLANK($E18)),1,0)+((($E18&gt;$G18)*(GE18&gt;GG18))+(($E18&lt;$G18)*(GE18&lt;GG18))+(($E18=$G18)*(GE18=GG18)))-ISBLANK($E18)*(GE18=GG18)+(($E18-$G18)=(GE18-GG18)))))</f>
        <v/>
      </c>
      <c r="GI18" s="37" t="n"/>
      <c r="GJ18" s="5" t="n"/>
      <c r="GK18" s="2" t="n"/>
      <c r="GL18" s="58" t="inlineStr">
        <is>
          <t>:</t>
        </is>
      </c>
      <c r="GM18" s="2" t="n"/>
      <c r="GN18" s="17">
        <f>IF(ISBLANK($E18),"",(IF(ISBLANK(GK18),0,IF((($E18=GK18)*($G18=GM18))*NOT(ISBLANK($E18)),1,0)+((($E18&gt;$G18)*(GK18&gt;GM18))+(($E18&lt;$G18)*(GK18&lt;GM18))+(($E18=$G18)*(GK18=GM18)))-ISBLANK($E18)*(GK18=GM18)+(($E18-$G18)=(GK18-GM18)))))</f>
        <v/>
      </c>
      <c r="GO18" s="37" t="n"/>
      <c r="GP18" s="5" t="n"/>
      <c r="GQ18" s="2" t="n"/>
      <c r="GR18" s="58" t="inlineStr">
        <is>
          <t>:</t>
        </is>
      </c>
      <c r="GS18" s="2" t="n"/>
      <c r="GT18" s="17">
        <f>IF(ISBLANK($E18),"",(IF(ISBLANK(GQ18),0,IF((($E18=GQ18)*($G18=GS18))*NOT(ISBLANK($E18)),1,0)+((($E18&gt;$G18)*(GQ18&gt;GS18))+(($E18&lt;$G18)*(GQ18&lt;GS18))+(($E18=$G18)*(GQ18=GS18)))-ISBLANK($E18)*(GQ18=GS18)+(($E18-$G18)=(GQ18-GS18)))))</f>
        <v/>
      </c>
      <c r="GU18" s="37" t="n"/>
      <c r="GV18" s="5" t="n"/>
    </row>
    <row r="19" ht="18" customHeight="1">
      <c r="A19" s="62" t="n"/>
      <c r="B19" s="70" t="n"/>
      <c r="C19" s="78" t="inlineStr">
        <is>
          <t>:</t>
        </is>
      </c>
      <c r="D19" s="70" t="n"/>
      <c r="E19" s="54" t="n"/>
      <c r="F19" s="55" t="inlineStr">
        <is>
          <t>:</t>
        </is>
      </c>
      <c r="G19" s="55" t="n"/>
      <c r="I19" s="49">
        <f>COUNTIF(P19,3)+COUNTIF(V19,3)+COUNTIF(AB19,3)+COUNTIF(AH19,3)+COUNTIF(AN19,3)+COUNTIF(AT19,3)+COUNTIF(AZ19,3)+COUNTIF(BF19,3)+COUNTIF(BL19,3)+COUNTIF(BR19,3)+COUNTIF(BX19,3)+COUNTIF(CD19,3)+COUNTIF(CJ19,3)+COUNTIF(CP19,3)+COUNTIF(CV19,3)+COUNTIF(DB19,3)+COUNTIF(DH19,3)+COUNTIF(DN19,3)+COUNTIF(DT19,3)+COUNTIF(DZ19,3)+COUNTIF(EF19,3)+COUNTIF(EL19,3)+COUNTIF(ER19,3)+COUNTIF(EX19,3)+COUNTIF(FD19,3)+COUNTIF(FJ19,3)+COUNTIF(FP19,3)+COUNTIF(FV19,3)+COUNTIF(GB19,3)+COUNTIF(GH19,3)+COUNTIF(GN19,3)+COUNTIF(GT19,3)</f>
        <v/>
      </c>
      <c r="J19" s="49">
        <f>COUNTIF(P19,2)+COUNTIF(V19,2)+COUNTIF(AB19,2)+COUNTIF(AH19,2)+COUNTIF(AN19,2)+COUNTIF(AT19,2)+COUNTIF(AZ19,2)+COUNTIF(BF19,2)+COUNTIF(BL19,2)+COUNTIF(BR19,2)+COUNTIF(BX19,2)+COUNTIF(CD19,2)+COUNTIF(CJ19,2)+COUNTIF(CP19,2)+COUNTIF(CV19,2)+COUNTIF(DB19,2)+COUNTIF(DH19,2)+COUNTIF(DN19,2)+COUNTIF(DT19,2)+COUNTIF(DZ19,2)+COUNTIF(EF19,2)+COUNTIF(EL19,2)+COUNTIF(ER19,2)+COUNTIF(EX19,2)+COUNTIF(FD19,2)+COUNTIF(FJ19,2)+COUNTIF(FP19,2)+COUNTIF(FV19,2)+COUNTIF(GB19,2)+COUNTIF(GH19,2)+COUNTIF(GN19,2)+COUNTIF(GT19,2)</f>
        <v/>
      </c>
      <c r="K19" s="49">
        <f>COUNTIF(P19,1)+COUNTIF(V19,1)+COUNTIF(AB19,1)+COUNTIF(AH19,1)+COUNTIF(AN19,1)+COUNTIF(AT19,1)+COUNTIF(AZ19,1)+COUNTIF(BF19,1)+COUNTIF(BL19,1)+COUNTIF(BR19,1)+COUNTIF(BX19,1)+COUNTIF(CD19,1)+COUNTIF(CJ19,1)+COUNTIF(CP19,1)+COUNTIF(CV19,1)+COUNTIF(DB19,1)+COUNTIF(DH19,1)+COUNTIF(DN19,1)+COUNTIF(DT19,1)+COUNTIF(DZ19,1)+COUNTIF(EF19,1)+COUNTIF(EL19,1)+COUNTIF(ER19,1)+COUNTIF(EX19,1)+COUNTIF(FD19,1)+COUNTIF(FJ19,1)+COUNTIF(FP19,1)+COUNTIF(FV19,1)+COUNTIF(GB19,1)+COUNTIF(GH19,1)+COUNTIF(GN19,1)+COUNTIF(GT19,1)</f>
        <v/>
      </c>
      <c r="L19" s="6" t="n"/>
      <c r="M19" s="2" t="n"/>
      <c r="N19" s="58" t="inlineStr">
        <is>
          <t>:</t>
        </is>
      </c>
      <c r="O19" s="2" t="n"/>
      <c r="P19" s="17">
        <f>IF(ISBLANK($E19),"",(IF(ISBLANK(M19),0,IF((($E19=M19)*($G19=O19))*NOT(ISBLANK($E19)),1,0)+((($E19&gt;$G19)*(M19&gt;O19))+(($E19&lt;$G19)*(M19&lt;O19))+(($E19=$G19)*(M19=O19)))-ISBLANK($E19)*(M19=O19)+(($E19-$G19)=(M19-O19)))))</f>
        <v/>
      </c>
      <c r="Q19" s="35" t="n"/>
      <c r="R19" s="6" t="n"/>
      <c r="S19" s="2" t="n"/>
      <c r="T19" s="58" t="inlineStr">
        <is>
          <t>:</t>
        </is>
      </c>
      <c r="U19" s="2" t="n"/>
      <c r="V19" s="17">
        <f>IF(ISBLANK($E19),"",(IF(ISBLANK(S19),0,IF((($E19=S19)*($G19=U19))*NOT(ISBLANK($E19)),1,0)+((($E19&gt;$G19)*(S19&gt;U19))+(($E19&lt;$G19)*(S19&lt;U19))+(($E19=$G19)*(S19=U19)))-ISBLANK($E19)*(S19=U19)+(($E19-$G19)=(S19-U19)))))</f>
        <v/>
      </c>
      <c r="W19" s="37" t="n"/>
      <c r="X19" s="6" t="n"/>
      <c r="Y19" s="2" t="n"/>
      <c r="Z19" s="58" t="inlineStr">
        <is>
          <t>:</t>
        </is>
      </c>
      <c r="AA19" s="2" t="n"/>
      <c r="AB19" s="17">
        <f>IF(ISBLANK($E19),"",(IF(ISBLANK(Y19),0,IF((($E19=Y19)*($G19=AA19))*NOT(ISBLANK($E19)),1,0)+((($E19&gt;$G19)*(Y19&gt;AA19))+(($E19&lt;$G19)*(Y19&lt;AA19))+(($E19=$G19)*(Y19=AA19)))-ISBLANK($E19)*(Y19=AA19)+(($E19-$G19)=(Y19-AA19)))))</f>
        <v/>
      </c>
      <c r="AC19" s="37" t="n"/>
      <c r="AD19" s="6" t="n"/>
      <c r="AE19" s="2" t="n"/>
      <c r="AF19" s="58" t="inlineStr">
        <is>
          <t>:</t>
        </is>
      </c>
      <c r="AG19" s="2" t="n"/>
      <c r="AH19" s="17">
        <f>IF(ISBLANK($E19),"",(IF(ISBLANK(AE19),0,IF((($E19=AE19)*($G19=AG19))*NOT(ISBLANK($E19)),1,0)+((($E19&gt;$G19)*(AE19&gt;AG19))+(($E19&lt;$G19)*(AE19&lt;AG19))+(($E19=$G19)*(AE19=AG19)))-ISBLANK($E19)*(AE19=AG19)+(($E19-$G19)=(AE19-AG19)))))</f>
        <v/>
      </c>
      <c r="AI19" s="37" t="n"/>
      <c r="AJ19" s="6" t="n"/>
      <c r="AK19" s="2" t="n"/>
      <c r="AL19" s="58" t="inlineStr">
        <is>
          <t>:</t>
        </is>
      </c>
      <c r="AM19" s="2" t="n"/>
      <c r="AN19" s="17">
        <f>IF(ISBLANK($E19),"",(IF(ISBLANK(AK19),0,IF((($E19=AK19)*($G19=AM19))*NOT(ISBLANK($E19)),1,0)+((($E19&gt;$G19)*(AK19&gt;AM19))+(($E19&lt;$G19)*(AK19&lt;AM19))+(($E19=$G19)*(AK19=AM19)))-ISBLANK($E19)*(AK19=AM19)+(($E19-$G19)=(AK19-AM19)))))</f>
        <v/>
      </c>
      <c r="AO19" s="37" t="n"/>
      <c r="AP19" s="6" t="n"/>
      <c r="AQ19" s="2" t="n"/>
      <c r="AR19" s="58" t="inlineStr">
        <is>
          <t>:</t>
        </is>
      </c>
      <c r="AS19" s="2" t="n"/>
      <c r="AT19" s="17">
        <f>IF(ISBLANK($E19),"",(IF(ISBLANK(AQ19),0,IF((($E19=AQ19)*($G19=AS19))*NOT(ISBLANK($E19)),1,0)+((($E19&gt;$G19)*(AQ19&gt;AS19))+(($E19&lt;$G19)*(AQ19&lt;AS19))+(($E19=$G19)*(AQ19=AS19)))-ISBLANK($E19)*(AQ19=AS19)+(($E19-$G19)=(AQ19-AS19)))))</f>
        <v/>
      </c>
      <c r="AU19" s="37" t="n"/>
      <c r="AV19" s="6" t="n"/>
      <c r="AW19" s="2" t="n"/>
      <c r="AX19" s="58" t="inlineStr">
        <is>
          <t>:</t>
        </is>
      </c>
      <c r="AY19" s="2" t="n"/>
      <c r="AZ19" s="17">
        <f>IF(ISBLANK($E19),"",(IF(ISBLANK(AW19),0,IF((($E19=AW19)*($G19=AY19))*NOT(ISBLANK($E19)),1,0)+((($E19&gt;$G19)*(AW19&gt;AY19))+(($E19&lt;$G19)*(AW19&lt;AY19))+(($E19=$G19)*(AW19=AY19)))-ISBLANK($E19)*(AW19=AY19)+(($E19-$G19)=(AW19-AY19)))))</f>
        <v/>
      </c>
      <c r="BA19" s="37" t="n"/>
      <c r="BB19" s="6" t="n"/>
      <c r="BC19" s="2" t="n"/>
      <c r="BD19" s="58" t="inlineStr">
        <is>
          <t>:</t>
        </is>
      </c>
      <c r="BE19" s="2" t="n"/>
      <c r="BF19" s="17">
        <f>IF(ISBLANK($E19),"",(IF(ISBLANK(BC19),0,IF((($E19=BC19)*($G19=BE19))*NOT(ISBLANK($E19)),1,0)+((($E19&gt;$G19)*(BC19&gt;BE19))+(($E19&lt;$G19)*(BC19&lt;BE19))+(($E19=$G19)*(BC19=BE19)))-ISBLANK($E19)*(BC19=BE19)+(($E19-$G19)=(BC19-BE19)))))</f>
        <v/>
      </c>
      <c r="BG19" s="37" t="n"/>
      <c r="BH19" s="6" t="n"/>
      <c r="BI19" s="2" t="n"/>
      <c r="BJ19" s="58" t="inlineStr">
        <is>
          <t>:</t>
        </is>
      </c>
      <c r="BK19" s="2" t="n"/>
      <c r="BL19" s="17">
        <f>IF(ISBLANK($E19),"",(IF(ISBLANK(BI19),0,IF((($E19=BI19)*($G19=BK19))*NOT(ISBLANK($E19)),1,0)+((($E19&gt;$G19)*(BI19&gt;BK19))+(($E19&lt;$G19)*(BI19&lt;BK19))+(($E19=$G19)*(BI19=BK19)))-ISBLANK($E19)*(BI19=BK19)+(($E19-$G19)=(BI19-BK19)))))</f>
        <v/>
      </c>
      <c r="BM19" s="37" t="n"/>
      <c r="BN19" s="6" t="n"/>
      <c r="BO19" s="2" t="n"/>
      <c r="BP19" s="58" t="inlineStr">
        <is>
          <t>:</t>
        </is>
      </c>
      <c r="BQ19" s="2" t="n"/>
      <c r="BR19" s="17">
        <f>IF(ISBLANK($E19),"",(IF(ISBLANK(BO19),0,IF((($E19=BO19)*($G19=BQ19))*NOT(ISBLANK($E19)),1,0)+((($E19&gt;$G19)*(BO19&gt;BQ19))+(($E19&lt;$G19)*(BO19&lt;BQ19))+(($E19=$G19)*(BO19=BQ19)))-ISBLANK($E19)*(BO19=BQ19)+(($E19-$G19)=(BO19-BQ19)))))</f>
        <v/>
      </c>
      <c r="BS19" s="37" t="n"/>
      <c r="BT19" s="6" t="n"/>
      <c r="BU19" s="2" t="n"/>
      <c r="BV19" s="58" t="inlineStr">
        <is>
          <t>:</t>
        </is>
      </c>
      <c r="BW19" s="2" t="n"/>
      <c r="BX19" s="17">
        <f>IF(ISBLANK($E19),"",(IF(ISBLANK(BU19),0,IF((($E19=BU19)*($G19=BW19))*NOT(ISBLANK($E19)),1,0)+((($E19&gt;$G19)*(BU19&gt;BW19))+(($E19&lt;$G19)*(BU19&lt;BW19))+(($E19=$G19)*(BU19=BW19)))-ISBLANK($E19)*(BU19=BW19)+(($E19-$G19)=(BU19-BW19)))))</f>
        <v/>
      </c>
      <c r="BY19" s="37" t="n"/>
      <c r="BZ19" s="6" t="n"/>
      <c r="CA19" s="2" t="n"/>
      <c r="CB19" s="58" t="inlineStr">
        <is>
          <t>:</t>
        </is>
      </c>
      <c r="CC19" s="2" t="n"/>
      <c r="CD19" s="17">
        <f>IF(ISBLANK($E19),"",(IF(ISBLANK(CA19),0,IF((($E19=CA19)*($G19=CC19))*NOT(ISBLANK($E19)),1,0)+((($E19&gt;$G19)*(CA19&gt;CC19))+(($E19&lt;$G19)*(CA19&lt;CC19))+(($E19=$G19)*(CA19=CC19)))-ISBLANK($E19)*(CA19=CC19)+(($E19-$G19)=(CA19-CC19)))))</f>
        <v/>
      </c>
      <c r="CE19" s="37" t="n"/>
      <c r="CF19" s="6" t="n"/>
      <c r="CG19" s="2" t="n"/>
      <c r="CH19" s="58" t="inlineStr">
        <is>
          <t>:</t>
        </is>
      </c>
      <c r="CI19" s="2" t="n"/>
      <c r="CJ19" s="17">
        <f>IF(ISBLANK($E19),"",(IF(ISBLANK(CG19),0,IF((($E19=CG19)*($G19=CI19))*NOT(ISBLANK($E19)),1,0)+((($E19&gt;$G19)*(CG19&gt;CI19))+(($E19&lt;$G19)*(CG19&lt;CI19))+(($E19=$G19)*(CG19=CI19)))-ISBLANK($E19)*(CG19=CI19)+(($E19-$G19)=(CG19-CI19)))))</f>
        <v/>
      </c>
      <c r="CK19" s="37" t="n"/>
      <c r="CL19" s="6" t="n"/>
      <c r="CM19" s="2" t="n"/>
      <c r="CN19" s="58" t="inlineStr">
        <is>
          <t>:</t>
        </is>
      </c>
      <c r="CO19" s="2" t="n"/>
      <c r="CP19" s="17">
        <f>IF(ISBLANK($E19),"",(IF(ISBLANK(CM19),0,IF((($E19=CM19)*($G19=CO19))*NOT(ISBLANK($E19)),1,0)+((($E19&gt;$G19)*(CM19&gt;CO19))+(($E19&lt;$G19)*(CM19&lt;CO19))+(($E19=$G19)*(CM19=CO19)))-ISBLANK($E19)*(CM19=CO19)+(($E19-$G19)=(CM19-CO19)))))</f>
        <v/>
      </c>
      <c r="CQ19" s="37" t="n"/>
      <c r="CR19" s="6" t="n"/>
      <c r="CS19" s="2" t="n"/>
      <c r="CT19" s="58" t="inlineStr">
        <is>
          <t>:</t>
        </is>
      </c>
      <c r="CU19" s="2" t="n"/>
      <c r="CV19" s="17">
        <f>IF(ISBLANK($E19),"",(IF(ISBLANK(CS19),0,IF((($E19=CS19)*($G19=CU19))*NOT(ISBLANK($E19)),1,0)+((($E19&gt;$G19)*(CS19&gt;CU19))+(($E19&lt;$G19)*(CS19&lt;CU19))+(($E19=$G19)*(CS19=CU19)))-ISBLANK($E19)*(CS19=CU19)+(($E19-$G19)=(CS19-CU19)))))</f>
        <v/>
      </c>
      <c r="CW19" s="37" t="n"/>
      <c r="CX19" s="6" t="n"/>
      <c r="CY19" s="2" t="n"/>
      <c r="CZ19" s="58" t="inlineStr">
        <is>
          <t>:</t>
        </is>
      </c>
      <c r="DA19" s="2" t="n"/>
      <c r="DB19" s="17">
        <f>IF(ISBLANK($E19),"",(IF(ISBLANK(CY19),0,IF((($E19=CY19)*($G19=DA19))*NOT(ISBLANK($E19)),1,0)+((($E19&gt;$G19)*(CY19&gt;DA19))+(($E19&lt;$G19)*(CY19&lt;DA19))+(($E19=$G19)*(CY19=DA19)))-ISBLANK($E19)*(CY19=DA19)+(($E19-$G19)=(CY19-DA19)))))</f>
        <v/>
      </c>
      <c r="DC19" s="37" t="n"/>
      <c r="DD19" s="6" t="n"/>
      <c r="DE19" s="2" t="n"/>
      <c r="DF19" s="58" t="inlineStr">
        <is>
          <t>:</t>
        </is>
      </c>
      <c r="DG19" s="2" t="n"/>
      <c r="DH19" s="17">
        <f>IF(ISBLANK($E19),"",(IF(ISBLANK(DE19),0,IF((($E19=DE19)*($G19=DG19))*NOT(ISBLANK($E19)),1,0)+((($E19&gt;$G19)*(DE19&gt;DG19))+(($E19&lt;$G19)*(DE19&lt;DG19))+(($E19=$G19)*(DE19=DG19)))-ISBLANK($E19)*(DE19=DG19)+(($E19-$G19)=(DE19-DG19)))))</f>
        <v/>
      </c>
      <c r="DI19" s="37" t="n"/>
      <c r="DJ19" s="6" t="n"/>
      <c r="DK19" s="2" t="n"/>
      <c r="DL19" s="58" t="inlineStr">
        <is>
          <t>:</t>
        </is>
      </c>
      <c r="DM19" s="2" t="n"/>
      <c r="DN19" s="17">
        <f>IF(ISBLANK($E19),"",(IF(ISBLANK(DK19),0,IF((($E19=DK19)*($G19=DM19))*NOT(ISBLANK($E19)),1,0)+((($E19&gt;$G19)*(DK19&gt;DM19))+(($E19&lt;$G19)*(DK19&lt;DM19))+(($E19=$G19)*(DK19=DM19)))-ISBLANK($E19)*(DK19=DM19)+(($E19-$G19)=(DK19-DM19)))))</f>
        <v/>
      </c>
      <c r="DO19" s="37" t="n"/>
      <c r="DP19" s="6" t="n"/>
      <c r="DQ19" s="2" t="n"/>
      <c r="DR19" s="58" t="inlineStr">
        <is>
          <t>:</t>
        </is>
      </c>
      <c r="DS19" s="2" t="n"/>
      <c r="DT19" s="17">
        <f>IF(ISBLANK($E19),"",(IF(ISBLANK(DQ19),0,IF((($E19=DQ19)*($G19=DS19))*NOT(ISBLANK($E19)),1,0)+((($E19&gt;$G19)*(DQ19&gt;DS19))+(($E19&lt;$G19)*(DQ19&lt;DS19))+(($E19=$G19)*(DQ19=DS19)))-ISBLANK($E19)*(DQ19=DS19)+(($E19-$G19)=(DQ19-DS19)))))</f>
        <v/>
      </c>
      <c r="DU19" s="37" t="n"/>
      <c r="DV19" s="6" t="n"/>
      <c r="DW19" s="2" t="n"/>
      <c r="DX19" s="58" t="inlineStr">
        <is>
          <t>:</t>
        </is>
      </c>
      <c r="DY19" s="2" t="n"/>
      <c r="DZ19" s="17">
        <f>IF(ISBLANK($E19),"",(IF(ISBLANK(DW19),0,IF((($E19=DW19)*($G19=DY19))*NOT(ISBLANK($E19)),1,0)+((($E19&gt;$G19)*(DW19&gt;DY19))+(($E19&lt;$G19)*(DW19&lt;DY19))+(($E19=$G19)*(DW19=DY19)))-ISBLANK($E19)*(DW19=DY19)+(($E19-$G19)=(DW19-DY19)))))</f>
        <v/>
      </c>
      <c r="EA19" s="37" t="n"/>
      <c r="EB19" s="6" t="n"/>
      <c r="EC19" s="2" t="n"/>
      <c r="ED19" s="58" t="inlineStr">
        <is>
          <t>:</t>
        </is>
      </c>
      <c r="EE19" s="2" t="n"/>
      <c r="EF19" s="17">
        <f>IF(ISBLANK($E19),"",(IF(ISBLANK(EC19),0,IF((($E19=EC19)*($G19=EE19))*NOT(ISBLANK($E19)),1,0)+((($E19&gt;$G19)*(EC19&gt;EE19))+(($E19&lt;$G19)*(EC19&lt;EE19))+(($E19=$G19)*(EC19=EE19)))-ISBLANK($E19)*(EC19=EE19)+(($E19-$G19)=(EC19-EE19)))))</f>
        <v/>
      </c>
      <c r="EG19" s="37" t="n"/>
      <c r="EH19" s="6" t="n"/>
      <c r="EI19" s="2" t="n"/>
      <c r="EJ19" s="58" t="inlineStr">
        <is>
          <t>:</t>
        </is>
      </c>
      <c r="EK19" s="2" t="n"/>
      <c r="EL19" s="17">
        <f>IF(ISBLANK($E19),"",(IF(ISBLANK(EI19),0,IF((($E19=EI19)*($G19=EK19))*NOT(ISBLANK($E19)),1,0)+((($E19&gt;$G19)*(EI19&gt;EK19))+(($E19&lt;$G19)*(EI19&lt;EK19))+(($E19=$G19)*(EI19=EK19)))-ISBLANK($E19)*(EI19=EK19)+(($E19-$G19)=(EI19-EK19)))))</f>
        <v/>
      </c>
      <c r="EM19" s="37" t="n"/>
      <c r="EN19" s="6" t="n"/>
      <c r="EO19" s="2" t="n"/>
      <c r="EP19" s="58" t="inlineStr">
        <is>
          <t>:</t>
        </is>
      </c>
      <c r="EQ19" s="2" t="n"/>
      <c r="ER19" s="17">
        <f>IF(ISBLANK($E19),"",(IF(ISBLANK(EO19),0,IF((($E19=EO19)*($G19=EQ19))*NOT(ISBLANK($E19)),1,0)+((($E19&gt;$G19)*(EO19&gt;EQ19))+(($E19&lt;$G19)*(EO19&lt;EQ19))+(($E19=$G19)*(EO19=EQ19)))-ISBLANK($E19)*(EO19=EQ19)+(($E19-$G19)=(EO19-EQ19)))))</f>
        <v/>
      </c>
      <c r="ES19" s="37" t="n"/>
      <c r="ET19" s="6" t="n"/>
      <c r="EU19" s="2" t="n"/>
      <c r="EV19" s="58" t="inlineStr">
        <is>
          <t>:</t>
        </is>
      </c>
      <c r="EW19" s="2" t="n"/>
      <c r="EX19" s="17">
        <f>IF(ISBLANK($E19),"",(IF(ISBLANK(EU19),0,IF((($E19=EU19)*($G19=EW19))*NOT(ISBLANK($E19)),1,0)+((($E19&gt;$G19)*(EU19&gt;EW19))+(($E19&lt;$G19)*(EU19&lt;EW19))+(($E19=$G19)*(EU19=EW19)))-ISBLANK($E19)*(EU19=EW19)+(($E19-$G19)=(EU19-EW19)))))</f>
        <v/>
      </c>
      <c r="EY19" s="37" t="n"/>
      <c r="EZ19" s="6" t="n"/>
      <c r="FA19" s="2" t="n"/>
      <c r="FB19" s="58" t="inlineStr">
        <is>
          <t>:</t>
        </is>
      </c>
      <c r="FC19" s="2" t="n"/>
      <c r="FD19" s="17">
        <f>IF(ISBLANK($E19),"",(IF(ISBLANK(FA19),0,IF((($E19=FA19)*($G19=FC19))*NOT(ISBLANK($E19)),1,0)+((($E19&gt;$G19)*(FA19&gt;FC19))+(($E19&lt;$G19)*(FA19&lt;FC19))+(($E19=$G19)*(FA19=FC19)))-ISBLANK($E19)*(FA19=FC19)+(($E19-$G19)=(FA19-FC19)))))</f>
        <v/>
      </c>
      <c r="FE19" s="37" t="n"/>
      <c r="FF19" s="6" t="n"/>
      <c r="FG19" s="2" t="n"/>
      <c r="FH19" s="58" t="n"/>
      <c r="FI19" s="2" t="n"/>
      <c r="FJ19" s="17">
        <f>IF(ISBLANK($E19),"",(IF(ISBLANK(FG19),0,IF((($E19=FG19)*($G19=FI19))*NOT(ISBLANK($E19)),1,0)+((($E19&gt;$G19)*(FG19&gt;FI19))+(($E19&lt;$G19)*(FG19&lt;FI19))+(($E19=$G19)*(FG19=FI19)))-ISBLANK($E19)*(FG19=FI19)+(($E19-$G19)=(FG19-FI19)))))</f>
        <v/>
      </c>
      <c r="FK19" s="37" t="n"/>
      <c r="FL19" s="6" t="n"/>
      <c r="FM19" s="2" t="n"/>
      <c r="FN19" s="58" t="inlineStr">
        <is>
          <t>:</t>
        </is>
      </c>
      <c r="FO19" s="2" t="n"/>
      <c r="FP19" s="17">
        <f>IF(ISBLANK($E19),"",(IF(ISBLANK(FM19),0,IF((($E19=FM19)*($G19=FO19))*NOT(ISBLANK($E19)),1,0)+((($E19&gt;$G19)*(FM19&gt;FO19))+(($E19&lt;$G19)*(FM19&lt;FO19))+(($E19=$G19)*(FM19=FO19)))-ISBLANK($E19)*(FM19=FO19)+(($E19-$G19)=(FM19-FO19)))))</f>
        <v/>
      </c>
      <c r="FQ19" s="37" t="n"/>
      <c r="FR19" s="6" t="n"/>
      <c r="FS19" s="2" t="n"/>
      <c r="FT19" s="58" t="inlineStr">
        <is>
          <t>:</t>
        </is>
      </c>
      <c r="FU19" s="2" t="n"/>
      <c r="FV19" s="17">
        <f>IF(ISBLANK($E19),"",(IF(ISBLANK(FS19),0,IF((($E19=FS19)*($G19=FU19))*NOT(ISBLANK($E19)),1,0)+((($E19&gt;$G19)*(FS19&gt;FU19))+(($E19&lt;$G19)*(FS19&lt;FU19))+(($E19=$G19)*(FS19=FU19)))-ISBLANK($E19)*(FS19=FU19)+(($E19-$G19)=(FS19-FU19)))))</f>
        <v/>
      </c>
      <c r="FW19" s="37" t="n"/>
      <c r="FX19" s="6" t="n"/>
      <c r="FY19" s="2" t="n"/>
      <c r="FZ19" s="58" t="inlineStr">
        <is>
          <t>:</t>
        </is>
      </c>
      <c r="GA19" s="2" t="n"/>
      <c r="GB19" s="17">
        <f>IF(ISBLANK($E19),"",(IF(ISBLANK(FY19),0,IF((($E19=FY19)*($G19=GA19))*NOT(ISBLANK($E19)),1,0)+((($E19&gt;$G19)*(FY19&gt;GA19))+(($E19&lt;$G19)*(FY19&lt;GA19))+(($E19=$G19)*(FY19=GA19)))-ISBLANK($E19)*(FY19=GA19)+(($E19-$G19)=(FY19-GA19)))))</f>
        <v/>
      </c>
      <c r="GC19" s="37" t="n"/>
      <c r="GD19" s="6" t="n"/>
      <c r="GE19" s="2" t="n"/>
      <c r="GF19" s="58" t="inlineStr">
        <is>
          <t>:</t>
        </is>
      </c>
      <c r="GG19" s="2" t="n"/>
      <c r="GH19" s="17">
        <f>IF(ISBLANK($E19),"",(IF(ISBLANK(GE19),0,IF((($E19=GE19)*($G19=GG19))*NOT(ISBLANK($E19)),1,0)+((($E19&gt;$G19)*(GE19&gt;GG19))+(($E19&lt;$G19)*(GE19&lt;GG19))+(($E19=$G19)*(GE19=GG19)))-ISBLANK($E19)*(GE19=GG19)+(($E19-$G19)=(GE19-GG19)))))</f>
        <v/>
      </c>
      <c r="GI19" s="37" t="n"/>
      <c r="GJ19" s="6" t="n"/>
      <c r="GK19" s="2" t="n"/>
      <c r="GL19" s="58" t="inlineStr">
        <is>
          <t>:</t>
        </is>
      </c>
      <c r="GM19" s="2" t="n"/>
      <c r="GN19" s="17">
        <f>IF(ISBLANK($E19),"",(IF(ISBLANK(GK19),0,IF((($E19=GK19)*($G19=GM19))*NOT(ISBLANK($E19)),1,0)+((($E19&gt;$G19)*(GK19&gt;GM19))+(($E19&lt;$G19)*(GK19&lt;GM19))+(($E19=$G19)*(GK19=GM19)))-ISBLANK($E19)*(GK19=GM19)+(($E19-$G19)=(GK19-GM19)))))</f>
        <v/>
      </c>
      <c r="GO19" s="37" t="n"/>
      <c r="GP19" s="6" t="n"/>
      <c r="GQ19" s="2" t="n"/>
      <c r="GR19" s="58" t="inlineStr">
        <is>
          <t>:</t>
        </is>
      </c>
      <c r="GS19" s="2" t="n"/>
      <c r="GT19" s="17">
        <f>IF(ISBLANK($E19),"",(IF(ISBLANK(GQ19),0,IF((($E19=GQ19)*($G19=GS19))*NOT(ISBLANK($E19)),1,0)+((($E19&gt;$G19)*(GQ19&gt;GS19))+(($E19&lt;$G19)*(GQ19&lt;GS19))+(($E19=$G19)*(GQ19=GS19)))-ISBLANK($E19)*(GQ19=GS19)+(($E19-$G19)=(GQ19-GS19)))))</f>
        <v/>
      </c>
      <c r="GU19" s="37" t="n"/>
      <c r="GV19" s="6" t="n"/>
    </row>
    <row r="20" ht="18" customHeight="1">
      <c r="A20" s="62" t="n"/>
      <c r="B20" s="70" t="n"/>
      <c r="C20" s="78" t="inlineStr">
        <is>
          <t>:</t>
        </is>
      </c>
      <c r="D20" s="70" t="n"/>
      <c r="E20" s="54" t="n"/>
      <c r="F20" s="55" t="inlineStr">
        <is>
          <t>:</t>
        </is>
      </c>
      <c r="G20" s="55" t="n"/>
      <c r="I20" s="49">
        <f>COUNTIF(P20,3)+COUNTIF(V20,3)+COUNTIF(AB20,3)+COUNTIF(AH20,3)+COUNTIF(AN20,3)+COUNTIF(AT20,3)+COUNTIF(AZ20,3)+COUNTIF(BF20,3)+COUNTIF(BL20,3)+COUNTIF(BR20,3)+COUNTIF(BX20,3)+COUNTIF(CD20,3)+COUNTIF(CJ20,3)+COUNTIF(CP20,3)+COUNTIF(CV20,3)+COUNTIF(DB20,3)+COUNTIF(DH20,3)+COUNTIF(DN20,3)+COUNTIF(DT20,3)+COUNTIF(DZ20,3)+COUNTIF(EF20,3)+COUNTIF(EL20,3)+COUNTIF(ER20,3)+COUNTIF(EX20,3)+COUNTIF(FD20,3)+COUNTIF(FJ20,3)+COUNTIF(FP20,3)+COUNTIF(FV20,3)+COUNTIF(GB20,3)+COUNTIF(GH20,3)+COUNTIF(GN20,3)+COUNTIF(GT20,3)</f>
        <v/>
      </c>
      <c r="J20" s="49">
        <f>COUNTIF(P20,2)+COUNTIF(V20,2)+COUNTIF(AB20,2)+COUNTIF(AH20,2)+COUNTIF(AN20,2)+COUNTIF(AT20,2)+COUNTIF(AZ20,2)+COUNTIF(BF20,2)+COUNTIF(BL20,2)+COUNTIF(BR20,2)+COUNTIF(BX20,2)+COUNTIF(CD20,2)+COUNTIF(CJ20,2)+COUNTIF(CP20,2)+COUNTIF(CV20,2)+COUNTIF(DB20,2)+COUNTIF(DH20,2)+COUNTIF(DN20,2)+COUNTIF(DT20,2)+COUNTIF(DZ20,2)+COUNTIF(EF20,2)+COUNTIF(EL20,2)+COUNTIF(ER20,2)+COUNTIF(EX20,2)+COUNTIF(FD20,2)+COUNTIF(FJ20,2)+COUNTIF(FP20,2)+COUNTIF(FV20,2)+COUNTIF(GB20,2)+COUNTIF(GH20,2)+COUNTIF(GN20,2)+COUNTIF(GT20,2)</f>
        <v/>
      </c>
      <c r="K20" s="49">
        <f>COUNTIF(P20,1)+COUNTIF(V20,1)+COUNTIF(AB20,1)+COUNTIF(AH20,1)+COUNTIF(AN20,1)+COUNTIF(AT20,1)+COUNTIF(AZ20,1)+COUNTIF(BF20,1)+COUNTIF(BL20,1)+COUNTIF(BR20,1)+COUNTIF(BX20,1)+COUNTIF(CD20,1)+COUNTIF(CJ20,1)+COUNTIF(CP20,1)+COUNTIF(CV20,1)+COUNTIF(DB20,1)+COUNTIF(DH20,1)+COUNTIF(DN20,1)+COUNTIF(DT20,1)+COUNTIF(DZ20,1)+COUNTIF(EF20,1)+COUNTIF(EL20,1)+COUNTIF(ER20,1)+COUNTIF(EX20,1)+COUNTIF(FD20,1)+COUNTIF(FJ20,1)+COUNTIF(FP20,1)+COUNTIF(FV20,1)+COUNTIF(GB20,1)+COUNTIF(GH20,1)+COUNTIF(GN20,1)+COUNTIF(GT20,1)</f>
        <v/>
      </c>
      <c r="L20" s="5" t="n"/>
      <c r="M20" s="2" t="n"/>
      <c r="N20" s="58" t="inlineStr">
        <is>
          <t>:</t>
        </is>
      </c>
      <c r="O20" s="2" t="n"/>
      <c r="P20" s="17">
        <f>IF(ISBLANK($E20),"",(IF(ISBLANK(M20),0,IF((($E20=M20)*($G20=O20))*NOT(ISBLANK($E20)),1,0)+((($E20&gt;$G20)*(M20&gt;O20))+(($E20&lt;$G20)*(M20&lt;O20))+(($E20=$G20)*(M20=O20)))-ISBLANK($E20)*(M20=O20)+(($E20-$G20)=(M20-O20)))))</f>
        <v/>
      </c>
      <c r="Q20" s="35" t="n"/>
      <c r="R20" s="5" t="n"/>
      <c r="S20" s="2" t="n"/>
      <c r="T20" s="58" t="inlineStr">
        <is>
          <t>:</t>
        </is>
      </c>
      <c r="U20" s="2" t="n"/>
      <c r="V20" s="17">
        <f>IF(ISBLANK($E20),"",(IF(ISBLANK(S20),0,IF((($E20=S20)*($G20=U20))*NOT(ISBLANK($E20)),1,0)+((($E20&gt;$G20)*(S20&gt;U20))+(($E20&lt;$G20)*(S20&lt;U20))+(($E20=$G20)*(S20=U20)))-ISBLANK($E20)*(S20=U20)+(($E20-$G20)=(S20-U20)))))</f>
        <v/>
      </c>
      <c r="W20" s="37" t="n"/>
      <c r="X20" s="5" t="n"/>
      <c r="Y20" s="2" t="n"/>
      <c r="Z20" s="58" t="inlineStr">
        <is>
          <t>:</t>
        </is>
      </c>
      <c r="AA20" s="2" t="n"/>
      <c r="AB20" s="17">
        <f>IF(ISBLANK($E20),"",(IF(ISBLANK(Y20),0,IF((($E20=Y20)*($G20=AA20))*NOT(ISBLANK($E20)),1,0)+((($E20&gt;$G20)*(Y20&gt;AA20))+(($E20&lt;$G20)*(Y20&lt;AA20))+(($E20=$G20)*(Y20=AA20)))-ISBLANK($E20)*(Y20=AA20)+(($E20-$G20)=(Y20-AA20)))))</f>
        <v/>
      </c>
      <c r="AC20" s="37" t="n"/>
      <c r="AD20" s="5" t="n"/>
      <c r="AE20" s="2" t="n"/>
      <c r="AF20" s="58" t="inlineStr">
        <is>
          <t>:</t>
        </is>
      </c>
      <c r="AG20" s="2" t="n"/>
      <c r="AH20" s="17">
        <f>IF(ISBLANK($E20),"",(IF(ISBLANK(AE20),0,IF((($E20=AE20)*($G20=AG20))*NOT(ISBLANK($E20)),1,0)+((($E20&gt;$G20)*(AE20&gt;AG20))+(($E20&lt;$G20)*(AE20&lt;AG20))+(($E20=$G20)*(AE20=AG20)))-ISBLANK($E20)*(AE20=AG20)+(($E20-$G20)=(AE20-AG20)))))</f>
        <v/>
      </c>
      <c r="AI20" s="37" t="n"/>
      <c r="AJ20" s="5" t="n"/>
      <c r="AK20" s="2" t="n"/>
      <c r="AL20" s="58" t="inlineStr">
        <is>
          <t>:</t>
        </is>
      </c>
      <c r="AM20" s="2" t="n"/>
      <c r="AN20" s="17">
        <f>IF(ISBLANK($E20),"",(IF(ISBLANK(AK20),0,IF((($E20=AK20)*($G20=AM20))*NOT(ISBLANK($E20)),1,0)+((($E20&gt;$G20)*(AK20&gt;AM20))+(($E20&lt;$G20)*(AK20&lt;AM20))+(($E20=$G20)*(AK20=AM20)))-ISBLANK($E20)*(AK20=AM20)+(($E20-$G20)=(AK20-AM20)))))</f>
        <v/>
      </c>
      <c r="AO20" s="37" t="n"/>
      <c r="AP20" s="5" t="n"/>
      <c r="AQ20" s="2" t="n"/>
      <c r="AR20" s="58" t="inlineStr">
        <is>
          <t>:</t>
        </is>
      </c>
      <c r="AS20" s="2" t="n"/>
      <c r="AT20" s="17">
        <f>IF(ISBLANK($E20),"",(IF(ISBLANK(AQ20),0,IF((($E20=AQ20)*($G20=AS20))*NOT(ISBLANK($E20)),1,0)+((($E20&gt;$G20)*(AQ20&gt;AS20))+(($E20&lt;$G20)*(AQ20&lt;AS20))+(($E20=$G20)*(AQ20=AS20)))-ISBLANK($E20)*(AQ20=AS20)+(($E20-$G20)=(AQ20-AS20)))))</f>
        <v/>
      </c>
      <c r="AU20" s="37" t="n"/>
      <c r="AV20" s="5" t="n"/>
      <c r="AW20" s="2" t="n"/>
      <c r="AX20" s="58" t="inlineStr">
        <is>
          <t>:</t>
        </is>
      </c>
      <c r="AY20" s="2" t="n"/>
      <c r="AZ20" s="17">
        <f>IF(ISBLANK($E20),"",(IF(ISBLANK(AW20),0,IF((($E20=AW20)*($G20=AY20))*NOT(ISBLANK($E20)),1,0)+((($E20&gt;$G20)*(AW20&gt;AY20))+(($E20&lt;$G20)*(AW20&lt;AY20))+(($E20=$G20)*(AW20=AY20)))-ISBLANK($E20)*(AW20=AY20)+(($E20-$G20)=(AW20-AY20)))))</f>
        <v/>
      </c>
      <c r="BA20" s="37" t="n"/>
      <c r="BB20" s="5" t="n"/>
      <c r="BC20" s="2" t="n"/>
      <c r="BD20" s="58" t="inlineStr">
        <is>
          <t>:</t>
        </is>
      </c>
      <c r="BE20" s="2" t="n"/>
      <c r="BF20" s="17">
        <f>IF(ISBLANK($E20),"",(IF(ISBLANK(BC20),0,IF((($E20=BC20)*($G20=BE20))*NOT(ISBLANK($E20)),1,0)+((($E20&gt;$G20)*(BC20&gt;BE20))+(($E20&lt;$G20)*(BC20&lt;BE20))+(($E20=$G20)*(BC20=BE20)))-ISBLANK($E20)*(BC20=BE20)+(($E20-$G20)=(BC20-BE20)))))</f>
        <v/>
      </c>
      <c r="BG20" s="37" t="n"/>
      <c r="BH20" s="5" t="n"/>
      <c r="BI20" s="2" t="n"/>
      <c r="BJ20" s="58" t="inlineStr">
        <is>
          <t>:</t>
        </is>
      </c>
      <c r="BK20" s="2" t="n"/>
      <c r="BL20" s="17">
        <f>IF(ISBLANK($E20),"",(IF(ISBLANK(BI20),0,IF((($E20=BI20)*($G20=BK20))*NOT(ISBLANK($E20)),1,0)+((($E20&gt;$G20)*(BI20&gt;BK20))+(($E20&lt;$G20)*(BI20&lt;BK20))+(($E20=$G20)*(BI20=BK20)))-ISBLANK($E20)*(BI20=BK20)+(($E20-$G20)=(BI20-BK20)))))</f>
        <v/>
      </c>
      <c r="BM20" s="37" t="n"/>
      <c r="BN20" s="5" t="n"/>
      <c r="BO20" s="2" t="n"/>
      <c r="BP20" s="58" t="inlineStr">
        <is>
          <t>:</t>
        </is>
      </c>
      <c r="BQ20" s="2" t="n"/>
      <c r="BR20" s="17">
        <f>IF(ISBLANK($E20),"",(IF(ISBLANK(BO20),0,IF((($E20=BO20)*($G20=BQ20))*NOT(ISBLANK($E20)),1,0)+((($E20&gt;$G20)*(BO20&gt;BQ20))+(($E20&lt;$G20)*(BO20&lt;BQ20))+(($E20=$G20)*(BO20=BQ20)))-ISBLANK($E20)*(BO20=BQ20)+(($E20-$G20)=(BO20-BQ20)))))</f>
        <v/>
      </c>
      <c r="BS20" s="37" t="n"/>
      <c r="BT20" s="5" t="n"/>
      <c r="BU20" s="2" t="n"/>
      <c r="BV20" s="58" t="inlineStr">
        <is>
          <t>:</t>
        </is>
      </c>
      <c r="BW20" s="2" t="n"/>
      <c r="BX20" s="17">
        <f>IF(ISBLANK($E20),"",(IF(ISBLANK(BU20),0,IF((($E20=BU20)*($G20=BW20))*NOT(ISBLANK($E20)),1,0)+((($E20&gt;$G20)*(BU20&gt;BW20))+(($E20&lt;$G20)*(BU20&lt;BW20))+(($E20=$G20)*(BU20=BW20)))-ISBLANK($E20)*(BU20=BW20)+(($E20-$G20)=(BU20-BW20)))))</f>
        <v/>
      </c>
      <c r="BY20" s="37" t="n"/>
      <c r="BZ20" s="5" t="n"/>
      <c r="CA20" s="2" t="n"/>
      <c r="CB20" s="58" t="inlineStr">
        <is>
          <t>:</t>
        </is>
      </c>
      <c r="CC20" s="2" t="n"/>
      <c r="CD20" s="17">
        <f>IF(ISBLANK($E20),"",(IF(ISBLANK(CA20),0,IF((($E20=CA20)*($G20=CC20))*NOT(ISBLANK($E20)),1,0)+((($E20&gt;$G20)*(CA20&gt;CC20))+(($E20&lt;$G20)*(CA20&lt;CC20))+(($E20=$G20)*(CA20=CC20)))-ISBLANK($E20)*(CA20=CC20)+(($E20-$G20)=(CA20-CC20)))))</f>
        <v/>
      </c>
      <c r="CE20" s="37" t="n"/>
      <c r="CF20" s="5" t="n"/>
      <c r="CG20" s="2" t="n"/>
      <c r="CH20" s="58" t="inlineStr">
        <is>
          <t>:</t>
        </is>
      </c>
      <c r="CI20" s="2" t="n"/>
      <c r="CJ20" s="17">
        <f>IF(ISBLANK($E20),"",(IF(ISBLANK(CG20),0,IF((($E20=CG20)*($G20=CI20))*NOT(ISBLANK($E20)),1,0)+((($E20&gt;$G20)*(CG20&gt;CI20))+(($E20&lt;$G20)*(CG20&lt;CI20))+(($E20=$G20)*(CG20=CI20)))-ISBLANK($E20)*(CG20=CI20)+(($E20-$G20)=(CG20-CI20)))))</f>
        <v/>
      </c>
      <c r="CK20" s="37" t="n"/>
      <c r="CL20" s="5" t="n"/>
      <c r="CM20" s="2" t="n"/>
      <c r="CN20" s="58" t="inlineStr">
        <is>
          <t>:</t>
        </is>
      </c>
      <c r="CO20" s="2" t="n"/>
      <c r="CP20" s="17">
        <f>IF(ISBLANK($E20),"",(IF(ISBLANK(CM20),0,IF((($E20=CM20)*($G20=CO20))*NOT(ISBLANK($E20)),1,0)+((($E20&gt;$G20)*(CM20&gt;CO20))+(($E20&lt;$G20)*(CM20&lt;CO20))+(($E20=$G20)*(CM20=CO20)))-ISBLANK($E20)*(CM20=CO20)+(($E20-$G20)=(CM20-CO20)))))</f>
        <v/>
      </c>
      <c r="CQ20" s="37" t="n"/>
      <c r="CR20" s="5" t="n"/>
      <c r="CS20" s="2" t="n"/>
      <c r="CT20" s="58" t="inlineStr">
        <is>
          <t>:</t>
        </is>
      </c>
      <c r="CU20" s="2" t="n"/>
      <c r="CV20" s="17">
        <f>IF(ISBLANK($E20),"",(IF(ISBLANK(CS20),0,IF((($E20=CS20)*($G20=CU20))*NOT(ISBLANK($E20)),1,0)+((($E20&gt;$G20)*(CS20&gt;CU20))+(($E20&lt;$G20)*(CS20&lt;CU20))+(($E20=$G20)*(CS20=CU20)))-ISBLANK($E20)*(CS20=CU20)+(($E20-$G20)=(CS20-CU20)))))</f>
        <v/>
      </c>
      <c r="CW20" s="37" t="n"/>
      <c r="CX20" s="5" t="n"/>
      <c r="CY20" s="2" t="n"/>
      <c r="CZ20" s="58" t="inlineStr">
        <is>
          <t>:</t>
        </is>
      </c>
      <c r="DA20" s="2" t="n"/>
      <c r="DB20" s="17">
        <f>IF(ISBLANK($E20),"",(IF(ISBLANK(CY20),0,IF((($E20=CY20)*($G20=DA20))*NOT(ISBLANK($E20)),1,0)+((($E20&gt;$G20)*(CY20&gt;DA20))+(($E20&lt;$G20)*(CY20&lt;DA20))+(($E20=$G20)*(CY20=DA20)))-ISBLANK($E20)*(CY20=DA20)+(($E20-$G20)=(CY20-DA20)))))</f>
        <v/>
      </c>
      <c r="DC20" s="37" t="n"/>
      <c r="DD20" s="5" t="n"/>
      <c r="DE20" s="2" t="n"/>
      <c r="DF20" s="58" t="inlineStr">
        <is>
          <t>:</t>
        </is>
      </c>
      <c r="DG20" s="2" t="n"/>
      <c r="DH20" s="17">
        <f>IF(ISBLANK($E20),"",(IF(ISBLANK(DE20),0,IF((($E20=DE20)*($G20=DG20))*NOT(ISBLANK($E20)),1,0)+((($E20&gt;$G20)*(DE20&gt;DG20))+(($E20&lt;$G20)*(DE20&lt;DG20))+(($E20=$G20)*(DE20=DG20)))-ISBLANK($E20)*(DE20=DG20)+(($E20-$G20)=(DE20-DG20)))))</f>
        <v/>
      </c>
      <c r="DI20" s="37" t="n"/>
      <c r="DJ20" s="5" t="n"/>
      <c r="DK20" s="2" t="n"/>
      <c r="DL20" s="58" t="inlineStr">
        <is>
          <t>:</t>
        </is>
      </c>
      <c r="DM20" s="2" t="n"/>
      <c r="DN20" s="17">
        <f>IF(ISBLANK($E20),"",(IF(ISBLANK(DK20),0,IF((($E20=DK20)*($G20=DM20))*NOT(ISBLANK($E20)),1,0)+((($E20&gt;$G20)*(DK20&gt;DM20))+(($E20&lt;$G20)*(DK20&lt;DM20))+(($E20=$G20)*(DK20=DM20)))-ISBLANK($E20)*(DK20=DM20)+(($E20-$G20)=(DK20-DM20)))))</f>
        <v/>
      </c>
      <c r="DO20" s="37" t="n"/>
      <c r="DP20" s="5" t="n"/>
      <c r="DQ20" s="2" t="n"/>
      <c r="DR20" s="58" t="inlineStr">
        <is>
          <t>:</t>
        </is>
      </c>
      <c r="DS20" s="2" t="n"/>
      <c r="DT20" s="17">
        <f>IF(ISBLANK($E20),"",(IF(ISBLANK(DQ20),0,IF((($E20=DQ20)*($G20=DS20))*NOT(ISBLANK($E20)),1,0)+((($E20&gt;$G20)*(DQ20&gt;DS20))+(($E20&lt;$G20)*(DQ20&lt;DS20))+(($E20=$G20)*(DQ20=DS20)))-ISBLANK($E20)*(DQ20=DS20)+(($E20-$G20)=(DQ20-DS20)))))</f>
        <v/>
      </c>
      <c r="DU20" s="37" t="n"/>
      <c r="DV20" s="5" t="n"/>
      <c r="DW20" s="2" t="n"/>
      <c r="DX20" s="58" t="inlineStr">
        <is>
          <t>:</t>
        </is>
      </c>
      <c r="DY20" s="2" t="n"/>
      <c r="DZ20" s="17">
        <f>IF(ISBLANK($E20),"",(IF(ISBLANK(DW20),0,IF((($E20=DW20)*($G20=DY20))*NOT(ISBLANK($E20)),1,0)+((($E20&gt;$G20)*(DW20&gt;DY20))+(($E20&lt;$G20)*(DW20&lt;DY20))+(($E20=$G20)*(DW20=DY20)))-ISBLANK($E20)*(DW20=DY20)+(($E20-$G20)=(DW20-DY20)))))</f>
        <v/>
      </c>
      <c r="EA20" s="37" t="n"/>
      <c r="EB20" s="5" t="n"/>
      <c r="EC20" s="2" t="n"/>
      <c r="ED20" s="58" t="inlineStr">
        <is>
          <t>:</t>
        </is>
      </c>
      <c r="EE20" s="2" t="n"/>
      <c r="EF20" s="17">
        <f>IF(ISBLANK($E20),"",(IF(ISBLANK(EC20),0,IF((($E20=EC20)*($G20=EE20))*NOT(ISBLANK($E20)),1,0)+((($E20&gt;$G20)*(EC20&gt;EE20))+(($E20&lt;$G20)*(EC20&lt;EE20))+(($E20=$G20)*(EC20=EE20)))-ISBLANK($E20)*(EC20=EE20)+(($E20-$G20)=(EC20-EE20)))))</f>
        <v/>
      </c>
      <c r="EG20" s="37" t="n"/>
      <c r="EH20" s="5" t="n"/>
      <c r="EI20" s="2" t="n"/>
      <c r="EJ20" s="58" t="inlineStr">
        <is>
          <t>:</t>
        </is>
      </c>
      <c r="EK20" s="2" t="n"/>
      <c r="EL20" s="17">
        <f>IF(ISBLANK($E20),"",(IF(ISBLANK(EI20),0,IF((($E20=EI20)*($G20=EK20))*NOT(ISBLANK($E20)),1,0)+((($E20&gt;$G20)*(EI20&gt;EK20))+(($E20&lt;$G20)*(EI20&lt;EK20))+(($E20=$G20)*(EI20=EK20)))-ISBLANK($E20)*(EI20=EK20)+(($E20-$G20)=(EI20-EK20)))))</f>
        <v/>
      </c>
      <c r="EM20" s="37" t="n"/>
      <c r="EN20" s="5" t="n"/>
      <c r="EO20" s="2" t="n"/>
      <c r="EP20" s="58" t="inlineStr">
        <is>
          <t>:</t>
        </is>
      </c>
      <c r="EQ20" s="2" t="n"/>
      <c r="ER20" s="17">
        <f>IF(ISBLANK($E20),"",(IF(ISBLANK(EO20),0,IF((($E20=EO20)*($G20=EQ20))*NOT(ISBLANK($E20)),1,0)+((($E20&gt;$G20)*(EO20&gt;EQ20))+(($E20&lt;$G20)*(EO20&lt;EQ20))+(($E20=$G20)*(EO20=EQ20)))-ISBLANK($E20)*(EO20=EQ20)+(($E20-$G20)=(EO20-EQ20)))))</f>
        <v/>
      </c>
      <c r="ES20" s="37" t="n"/>
      <c r="ET20" s="5" t="n"/>
      <c r="EU20" s="2" t="n"/>
      <c r="EV20" s="58" t="inlineStr">
        <is>
          <t>:</t>
        </is>
      </c>
      <c r="EW20" s="2" t="n"/>
      <c r="EX20" s="17">
        <f>IF(ISBLANK($E20),"",(IF(ISBLANK(EU20),0,IF((($E20=EU20)*($G20=EW20))*NOT(ISBLANK($E20)),1,0)+((($E20&gt;$G20)*(EU20&gt;EW20))+(($E20&lt;$G20)*(EU20&lt;EW20))+(($E20=$G20)*(EU20=EW20)))-ISBLANK($E20)*(EU20=EW20)+(($E20-$G20)=(EU20-EW20)))))</f>
        <v/>
      </c>
      <c r="EY20" s="37" t="n"/>
      <c r="EZ20" s="5" t="n"/>
      <c r="FA20" s="2" t="n"/>
      <c r="FB20" s="58" t="inlineStr">
        <is>
          <t>:</t>
        </is>
      </c>
      <c r="FC20" s="2" t="n"/>
      <c r="FD20" s="17">
        <f>IF(ISBLANK($E20),"",(IF(ISBLANK(FA20),0,IF((($E20=FA20)*($G20=FC20))*NOT(ISBLANK($E20)),1,0)+((($E20&gt;$G20)*(FA20&gt;FC20))+(($E20&lt;$G20)*(FA20&lt;FC20))+(($E20=$G20)*(FA20=FC20)))-ISBLANK($E20)*(FA20=FC20)+(($E20-$G20)=(FA20-FC20)))))</f>
        <v/>
      </c>
      <c r="FE20" s="37" t="n"/>
      <c r="FF20" s="5" t="n"/>
      <c r="FG20" s="2" t="n"/>
      <c r="FH20" s="58" t="n"/>
      <c r="FI20" s="2" t="n"/>
      <c r="FJ20" s="17">
        <f>IF(ISBLANK($E20),"",(IF(ISBLANK(FG20),0,IF((($E20=FG20)*($G20=FI20))*NOT(ISBLANK($E20)),1,0)+((($E20&gt;$G20)*(FG20&gt;FI20))+(($E20&lt;$G20)*(FG20&lt;FI20))+(($E20=$G20)*(FG20=FI20)))-ISBLANK($E20)*(FG20=FI20)+(($E20-$G20)=(FG20-FI20)))))</f>
        <v/>
      </c>
      <c r="FK20" s="37" t="n"/>
      <c r="FL20" s="5" t="n"/>
      <c r="FM20" s="2" t="n"/>
      <c r="FN20" s="58" t="inlineStr">
        <is>
          <t>:</t>
        </is>
      </c>
      <c r="FO20" s="2" t="n"/>
      <c r="FP20" s="17">
        <f>IF(ISBLANK($E20),"",(IF(ISBLANK(FM20),0,IF((($E20=FM20)*($G20=FO20))*NOT(ISBLANK($E20)),1,0)+((($E20&gt;$G20)*(FM20&gt;FO20))+(($E20&lt;$G20)*(FM20&lt;FO20))+(($E20=$G20)*(FM20=FO20)))-ISBLANK($E20)*(FM20=FO20)+(($E20-$G20)=(FM20-FO20)))))</f>
        <v/>
      </c>
      <c r="FQ20" s="37" t="n"/>
      <c r="FR20" s="5" t="n"/>
      <c r="FS20" s="2" t="n"/>
      <c r="FT20" s="58" t="inlineStr">
        <is>
          <t>:</t>
        </is>
      </c>
      <c r="FU20" s="2" t="n"/>
      <c r="FV20" s="17">
        <f>IF(ISBLANK($E20),"",(IF(ISBLANK(FS20),0,IF((($E20=FS20)*($G20=FU20))*NOT(ISBLANK($E20)),1,0)+((($E20&gt;$G20)*(FS20&gt;FU20))+(($E20&lt;$G20)*(FS20&lt;FU20))+(($E20=$G20)*(FS20=FU20)))-ISBLANK($E20)*(FS20=FU20)+(($E20-$G20)=(FS20-FU20)))))</f>
        <v/>
      </c>
      <c r="FW20" s="37" t="n"/>
      <c r="FX20" s="5" t="n"/>
      <c r="FY20" s="2" t="n"/>
      <c r="FZ20" s="58" t="inlineStr">
        <is>
          <t>:</t>
        </is>
      </c>
      <c r="GA20" s="2" t="n"/>
      <c r="GB20" s="17">
        <f>IF(ISBLANK($E20),"",(IF(ISBLANK(FY20),0,IF((($E20=FY20)*($G20=GA20))*NOT(ISBLANK($E20)),1,0)+((($E20&gt;$G20)*(FY20&gt;GA20))+(($E20&lt;$G20)*(FY20&lt;GA20))+(($E20=$G20)*(FY20=GA20)))-ISBLANK($E20)*(FY20=GA20)+(($E20-$G20)=(FY20-GA20)))))</f>
        <v/>
      </c>
      <c r="GC20" s="37" t="n"/>
      <c r="GD20" s="5" t="n"/>
      <c r="GE20" s="2" t="n"/>
      <c r="GF20" s="58" t="inlineStr">
        <is>
          <t>:</t>
        </is>
      </c>
      <c r="GG20" s="2" t="n"/>
      <c r="GH20" s="17">
        <f>IF(ISBLANK($E20),"",(IF(ISBLANK(GE20),0,IF((($E20=GE20)*($G20=GG20))*NOT(ISBLANK($E20)),1,0)+((($E20&gt;$G20)*(GE20&gt;GG20))+(($E20&lt;$G20)*(GE20&lt;GG20))+(($E20=$G20)*(GE20=GG20)))-ISBLANK($E20)*(GE20=GG20)+(($E20-$G20)=(GE20-GG20)))))</f>
        <v/>
      </c>
      <c r="GI20" s="37" t="n"/>
      <c r="GJ20" s="5" t="n"/>
      <c r="GK20" s="2" t="n"/>
      <c r="GL20" s="58" t="inlineStr">
        <is>
          <t>:</t>
        </is>
      </c>
      <c r="GM20" s="2" t="n"/>
      <c r="GN20" s="17">
        <f>IF(ISBLANK($E20),"",(IF(ISBLANK(GK20),0,IF((($E20=GK20)*($G20=GM20))*NOT(ISBLANK($E20)),1,0)+((($E20&gt;$G20)*(GK20&gt;GM20))+(($E20&lt;$G20)*(GK20&lt;GM20))+(($E20=$G20)*(GK20=GM20)))-ISBLANK($E20)*(GK20=GM20)+(($E20-$G20)=(GK20-GM20)))))</f>
        <v/>
      </c>
      <c r="GO20" s="37" t="n"/>
      <c r="GP20" s="5" t="n"/>
      <c r="GQ20" s="2" t="n"/>
      <c r="GR20" s="58" t="inlineStr">
        <is>
          <t>:</t>
        </is>
      </c>
      <c r="GS20" s="2" t="n"/>
      <c r="GT20" s="17">
        <f>IF(ISBLANK($E20),"",(IF(ISBLANK(GQ20),0,IF((($E20=GQ20)*($G20=GS20))*NOT(ISBLANK($E20)),1,0)+((($E20&gt;$G20)*(GQ20&gt;GS20))+(($E20&lt;$G20)*(GQ20&lt;GS20))+(($E20=$G20)*(GQ20=GS20)))-ISBLANK($E20)*(GQ20=GS20)+(($E20-$G20)=(GQ20-GS20)))))</f>
        <v/>
      </c>
      <c r="GU20" s="37" t="n"/>
      <c r="GV20" s="5" t="n"/>
    </row>
    <row r="21" ht="18" customHeight="1">
      <c r="A21" s="62" t="n"/>
      <c r="B21" s="70" t="n"/>
      <c r="C21" s="78" t="inlineStr">
        <is>
          <t>:</t>
        </is>
      </c>
      <c r="D21" s="70" t="n"/>
      <c r="E21" s="74" t="n"/>
      <c r="F21" s="55" t="inlineStr">
        <is>
          <t>:</t>
        </is>
      </c>
      <c r="G21" s="55" t="n"/>
      <c r="I21" s="49">
        <f>COUNTIF(P21,3)+COUNTIF(V21,3)+COUNTIF(AB21,3)+COUNTIF(AH21,3)+COUNTIF(AN21,3)+COUNTIF(AT21,3)+COUNTIF(AZ21,3)+COUNTIF(BF21,3)+COUNTIF(BL21,3)+COUNTIF(BR21,3)+COUNTIF(BX21,3)+COUNTIF(CD21,3)+COUNTIF(CJ21,3)+COUNTIF(CP21,3)+COUNTIF(CV21,3)+COUNTIF(DB21,3)+COUNTIF(DH21,3)+COUNTIF(DN21,3)+COUNTIF(DT21,3)+COUNTIF(DZ21,3)+COUNTIF(EF21,3)+COUNTIF(EL21,3)+COUNTIF(ER21,3)+COUNTIF(EX21,3)+COUNTIF(FD21,3)+COUNTIF(FJ21,3)+COUNTIF(FP21,3)+COUNTIF(FV21,3)+COUNTIF(GB21,3)+COUNTIF(GH21,3)+COUNTIF(GN21,3)+COUNTIF(GT21,3)</f>
        <v/>
      </c>
      <c r="J21" s="49">
        <f>COUNTIF(P21,2)+COUNTIF(V21,2)+COUNTIF(AB21,2)+COUNTIF(AH21,2)+COUNTIF(AN21,2)+COUNTIF(AT21,2)+COUNTIF(AZ21,2)+COUNTIF(BF21,2)+COUNTIF(BL21,2)+COUNTIF(BR21,2)+COUNTIF(BX21,2)+COUNTIF(CD21,2)+COUNTIF(CJ21,2)+COUNTIF(CP21,2)+COUNTIF(CV21,2)+COUNTIF(DB21,2)+COUNTIF(DH21,2)+COUNTIF(DN21,2)+COUNTIF(DT21,2)+COUNTIF(DZ21,2)+COUNTIF(EF21,2)+COUNTIF(EL21,2)+COUNTIF(ER21,2)+COUNTIF(EX21,2)+COUNTIF(FD21,2)+COUNTIF(FJ21,2)+COUNTIF(FP21,2)+COUNTIF(FV21,2)+COUNTIF(GB21,2)+COUNTIF(GH21,2)+COUNTIF(GN21,2)+COUNTIF(GT21,2)</f>
        <v/>
      </c>
      <c r="K21" s="49">
        <f>COUNTIF(P21,1)+COUNTIF(V21,1)+COUNTIF(AB21,1)+COUNTIF(AH21,1)+COUNTIF(AN21,1)+COUNTIF(AT21,1)+COUNTIF(AZ21,1)+COUNTIF(BF21,1)+COUNTIF(BL21,1)+COUNTIF(BR21,1)+COUNTIF(BX21,1)+COUNTIF(CD21,1)+COUNTIF(CJ21,1)+COUNTIF(CP21,1)+COUNTIF(CV21,1)+COUNTIF(DB21,1)+COUNTIF(DH21,1)+COUNTIF(DN21,1)+COUNTIF(DT21,1)+COUNTIF(DZ21,1)+COUNTIF(EF21,1)+COUNTIF(EL21,1)+COUNTIF(ER21,1)+COUNTIF(EX21,1)+COUNTIF(FD21,1)+COUNTIF(FJ21,1)+COUNTIF(FP21,1)+COUNTIF(FV21,1)+COUNTIF(GB21,1)+COUNTIF(GH21,1)+COUNTIF(GN21,1)+COUNTIF(GT21,1)</f>
        <v/>
      </c>
      <c r="L21" s="5" t="n"/>
      <c r="M21" s="2" t="n"/>
      <c r="N21" s="58" t="inlineStr">
        <is>
          <t>:</t>
        </is>
      </c>
      <c r="O21" s="2" t="n"/>
      <c r="P21" s="17">
        <f>IF(ISBLANK($E21),"",(IF(ISBLANK(M21),0,IF((($E21=M21)*($G21=O21))*NOT(ISBLANK($E21)),1,0)+((($E21&gt;$G21)*(M21&gt;O21))+(($E21&lt;$G21)*(M21&lt;O21))+(($E21=$G21)*(M21=O21)))-ISBLANK($E21)*(M21=O21)+(($E21-$G21)=(M21-O21)))))</f>
        <v/>
      </c>
      <c r="Q21" s="35" t="n"/>
      <c r="R21" s="5" t="n"/>
      <c r="S21" s="2" t="n"/>
      <c r="T21" s="58" t="inlineStr">
        <is>
          <t>:</t>
        </is>
      </c>
      <c r="U21" s="2" t="n"/>
      <c r="V21" s="17">
        <f>IF(ISBLANK($E21),"",(IF(ISBLANK(S21),0,IF((($E21=S21)*($G21=U21))*NOT(ISBLANK($E21)),1,0)+((($E21&gt;$G21)*(S21&gt;U21))+(($E21&lt;$G21)*(S21&lt;U21))+(($E21=$G21)*(S21=U21)))-ISBLANK($E21)*(S21=U21)+(($E21-$G21)=(S21-U21)))))</f>
        <v/>
      </c>
      <c r="W21" s="37" t="n"/>
      <c r="X21" s="5" t="n"/>
      <c r="Y21" s="2" t="n"/>
      <c r="Z21" s="58" t="inlineStr">
        <is>
          <t>:</t>
        </is>
      </c>
      <c r="AA21" s="2" t="n"/>
      <c r="AB21" s="17">
        <f>IF(ISBLANK($E21),"",(IF(ISBLANK(Y21),0,IF((($E21=Y21)*($G21=AA21))*NOT(ISBLANK($E21)),1,0)+((($E21&gt;$G21)*(Y21&gt;AA21))+(($E21&lt;$G21)*(Y21&lt;AA21))+(($E21=$G21)*(Y21=AA21)))-ISBLANK($E21)*(Y21=AA21)+(($E21-$G21)=(Y21-AA21)))))</f>
        <v/>
      </c>
      <c r="AC21" s="37" t="n"/>
      <c r="AD21" s="5" t="n"/>
      <c r="AE21" s="2" t="n"/>
      <c r="AF21" s="58" t="inlineStr">
        <is>
          <t>:</t>
        </is>
      </c>
      <c r="AG21" s="2" t="n"/>
      <c r="AH21" s="17">
        <f>IF(ISBLANK($E21),"",(IF(ISBLANK(AE21),0,IF((($E21=AE21)*($G21=AG21))*NOT(ISBLANK($E21)),1,0)+((($E21&gt;$G21)*(AE21&gt;AG21))+(($E21&lt;$G21)*(AE21&lt;AG21))+(($E21=$G21)*(AE21=AG21)))-ISBLANK($E21)*(AE21=AG21)+(($E21-$G21)=(AE21-AG21)))))</f>
        <v/>
      </c>
      <c r="AI21" s="37" t="n"/>
      <c r="AJ21" s="5" t="n"/>
      <c r="AK21" s="2" t="n"/>
      <c r="AL21" s="58" t="inlineStr">
        <is>
          <t>:</t>
        </is>
      </c>
      <c r="AM21" s="2" t="n"/>
      <c r="AN21" s="17">
        <f>IF(ISBLANK($E21),"",(IF(ISBLANK(AK21),0,IF((($E21=AK21)*($G21=AM21))*NOT(ISBLANK($E21)),1,0)+((($E21&gt;$G21)*(AK21&gt;AM21))+(($E21&lt;$G21)*(AK21&lt;AM21))+(($E21=$G21)*(AK21=AM21)))-ISBLANK($E21)*(AK21=AM21)+(($E21-$G21)=(AK21-AM21)))))</f>
        <v/>
      </c>
      <c r="AO21" s="37" t="n"/>
      <c r="AP21" s="5" t="n"/>
      <c r="AQ21" s="2" t="n"/>
      <c r="AR21" s="58" t="inlineStr">
        <is>
          <t>:</t>
        </is>
      </c>
      <c r="AS21" s="2" t="n"/>
      <c r="AT21" s="17">
        <f>IF(ISBLANK($E21),"",(IF(ISBLANK(AQ21),0,IF((($E21=AQ21)*($G21=AS21))*NOT(ISBLANK($E21)),1,0)+((($E21&gt;$G21)*(AQ21&gt;AS21))+(($E21&lt;$G21)*(AQ21&lt;AS21))+(($E21=$G21)*(AQ21=AS21)))-ISBLANK($E21)*(AQ21=AS21)+(($E21-$G21)=(AQ21-AS21)))))</f>
        <v/>
      </c>
      <c r="AU21" s="37" t="n"/>
      <c r="AV21" s="5" t="n"/>
      <c r="AW21" s="2" t="n"/>
      <c r="AX21" s="58" t="inlineStr">
        <is>
          <t>:</t>
        </is>
      </c>
      <c r="AY21" s="2" t="n"/>
      <c r="AZ21" s="17">
        <f>IF(ISBLANK($E21),"",(IF(ISBLANK(AW21),0,IF((($E21=AW21)*($G21=AY21))*NOT(ISBLANK($E21)),1,0)+((($E21&gt;$G21)*(AW21&gt;AY21))+(($E21&lt;$G21)*(AW21&lt;AY21))+(($E21=$G21)*(AW21=AY21)))-ISBLANK($E21)*(AW21=AY21)+(($E21-$G21)=(AW21-AY21)))))</f>
        <v/>
      </c>
      <c r="BA21" s="37" t="n"/>
      <c r="BB21" s="5" t="n"/>
      <c r="BC21" s="2" t="n"/>
      <c r="BD21" s="58" t="inlineStr">
        <is>
          <t>:</t>
        </is>
      </c>
      <c r="BE21" s="2" t="n"/>
      <c r="BF21" s="17">
        <f>IF(ISBLANK($E21),"",(IF(ISBLANK(BC21),0,IF((($E21=BC21)*($G21=BE21))*NOT(ISBLANK($E21)),1,0)+((($E21&gt;$G21)*(BC21&gt;BE21))+(($E21&lt;$G21)*(BC21&lt;BE21))+(($E21=$G21)*(BC21=BE21)))-ISBLANK($E21)*(BC21=BE21)+(($E21-$G21)=(BC21-BE21)))))</f>
        <v/>
      </c>
      <c r="BG21" s="37" t="n"/>
      <c r="BH21" s="5" t="n"/>
      <c r="BI21" s="2" t="n"/>
      <c r="BJ21" s="58" t="inlineStr">
        <is>
          <t>:</t>
        </is>
      </c>
      <c r="BK21" s="2" t="n"/>
      <c r="BL21" s="17">
        <f>IF(ISBLANK($E21),"",(IF(ISBLANK(BI21),0,IF((($E21=BI21)*($G21=BK21))*NOT(ISBLANK($E21)),1,0)+((($E21&gt;$G21)*(BI21&gt;BK21))+(($E21&lt;$G21)*(BI21&lt;BK21))+(($E21=$G21)*(BI21=BK21)))-ISBLANK($E21)*(BI21=BK21)+(($E21-$G21)=(BI21-BK21)))))</f>
        <v/>
      </c>
      <c r="BM21" s="37" t="n"/>
      <c r="BN21" s="5" t="n"/>
      <c r="BO21" s="2" t="n"/>
      <c r="BP21" s="58" t="inlineStr">
        <is>
          <t>:</t>
        </is>
      </c>
      <c r="BQ21" s="2" t="n"/>
      <c r="BR21" s="17">
        <f>IF(ISBLANK($E21),"",(IF(ISBLANK(BO21),0,IF((($E21=BO21)*($G21=BQ21))*NOT(ISBLANK($E21)),1,0)+((($E21&gt;$G21)*(BO21&gt;BQ21))+(($E21&lt;$G21)*(BO21&lt;BQ21))+(($E21=$G21)*(BO21=BQ21)))-ISBLANK($E21)*(BO21=BQ21)+(($E21-$G21)=(BO21-BQ21)))))</f>
        <v/>
      </c>
      <c r="BS21" s="37" t="n"/>
      <c r="BT21" s="5" t="n"/>
      <c r="BU21" s="2" t="n"/>
      <c r="BV21" s="58" t="inlineStr">
        <is>
          <t>:</t>
        </is>
      </c>
      <c r="BW21" s="2" t="n"/>
      <c r="BX21" s="17">
        <f>IF(ISBLANK($E21),"",(IF(ISBLANK(BU21),0,IF((($E21=BU21)*($G21=BW21))*NOT(ISBLANK($E21)),1,0)+((($E21&gt;$G21)*(BU21&gt;BW21))+(($E21&lt;$G21)*(BU21&lt;BW21))+(($E21=$G21)*(BU21=BW21)))-ISBLANK($E21)*(BU21=BW21)+(($E21-$G21)=(BU21-BW21)))))</f>
        <v/>
      </c>
      <c r="BY21" s="37" t="n"/>
      <c r="BZ21" s="5" t="n"/>
      <c r="CA21" s="2" t="n"/>
      <c r="CB21" s="58" t="inlineStr">
        <is>
          <t>:</t>
        </is>
      </c>
      <c r="CC21" s="2" t="n"/>
      <c r="CD21" s="17">
        <f>IF(ISBLANK($E21),"",(IF(ISBLANK(CA21),0,IF((($E21=CA21)*($G21=CC21))*NOT(ISBLANK($E21)),1,0)+((($E21&gt;$G21)*(CA21&gt;CC21))+(($E21&lt;$G21)*(CA21&lt;CC21))+(($E21=$G21)*(CA21=CC21)))-ISBLANK($E21)*(CA21=CC21)+(($E21-$G21)=(CA21-CC21)))))</f>
        <v/>
      </c>
      <c r="CE21" s="37" t="n"/>
      <c r="CF21" s="5" t="n"/>
      <c r="CG21" s="2" t="n"/>
      <c r="CH21" s="58" t="inlineStr">
        <is>
          <t>:</t>
        </is>
      </c>
      <c r="CI21" s="2" t="n"/>
      <c r="CJ21" s="17">
        <f>IF(ISBLANK($E21),"",(IF(ISBLANK(CG21),0,IF((($E21=CG21)*($G21=CI21))*NOT(ISBLANK($E21)),1,0)+((($E21&gt;$G21)*(CG21&gt;CI21))+(($E21&lt;$G21)*(CG21&lt;CI21))+(($E21=$G21)*(CG21=CI21)))-ISBLANK($E21)*(CG21=CI21)+(($E21-$G21)=(CG21-CI21)))))</f>
        <v/>
      </c>
      <c r="CK21" s="37" t="n"/>
      <c r="CL21" s="5" t="n"/>
      <c r="CM21" s="2" t="n"/>
      <c r="CN21" s="58" t="inlineStr">
        <is>
          <t>:</t>
        </is>
      </c>
      <c r="CO21" s="2" t="n"/>
      <c r="CP21" s="17">
        <f>IF(ISBLANK($E21),"",(IF(ISBLANK(CM21),0,IF((($E21=CM21)*($G21=CO21))*NOT(ISBLANK($E21)),1,0)+((($E21&gt;$G21)*(CM21&gt;CO21))+(($E21&lt;$G21)*(CM21&lt;CO21))+(($E21=$G21)*(CM21=CO21)))-ISBLANK($E21)*(CM21=CO21)+(($E21-$G21)=(CM21-CO21)))))</f>
        <v/>
      </c>
      <c r="CQ21" s="37" t="n"/>
      <c r="CR21" s="5" t="n"/>
      <c r="CS21" s="2" t="n"/>
      <c r="CT21" s="58" t="inlineStr">
        <is>
          <t>:</t>
        </is>
      </c>
      <c r="CU21" s="2" t="n"/>
      <c r="CV21" s="17">
        <f>IF(ISBLANK($E21),"",(IF(ISBLANK(CS21),0,IF((($E21=CS21)*($G21=CU21))*NOT(ISBLANK($E21)),1,0)+((($E21&gt;$G21)*(CS21&gt;CU21))+(($E21&lt;$G21)*(CS21&lt;CU21))+(($E21=$G21)*(CS21=CU21)))-ISBLANK($E21)*(CS21=CU21)+(($E21-$G21)=(CS21-CU21)))))</f>
        <v/>
      </c>
      <c r="CW21" s="37" t="n"/>
      <c r="CX21" s="5" t="n"/>
      <c r="CY21" s="2" t="n"/>
      <c r="CZ21" s="58" t="inlineStr">
        <is>
          <t>:</t>
        </is>
      </c>
      <c r="DA21" s="2" t="n"/>
      <c r="DB21" s="17">
        <f>IF(ISBLANK($E21),"",(IF(ISBLANK(CY21),0,IF((($E21=CY21)*($G21=DA21))*NOT(ISBLANK($E21)),1,0)+((($E21&gt;$G21)*(CY21&gt;DA21))+(($E21&lt;$G21)*(CY21&lt;DA21))+(($E21=$G21)*(CY21=DA21)))-ISBLANK($E21)*(CY21=DA21)+(($E21-$G21)=(CY21-DA21)))))</f>
        <v/>
      </c>
      <c r="DC21" s="37" t="n"/>
      <c r="DD21" s="5" t="n"/>
      <c r="DE21" s="2" t="n"/>
      <c r="DF21" s="58" t="inlineStr">
        <is>
          <t>:</t>
        </is>
      </c>
      <c r="DG21" s="2" t="n"/>
      <c r="DH21" s="17">
        <f>IF(ISBLANK($E21),"",(IF(ISBLANK(DE21),0,IF((($E21=DE21)*($G21=DG21))*NOT(ISBLANK($E21)),1,0)+((($E21&gt;$G21)*(DE21&gt;DG21))+(($E21&lt;$G21)*(DE21&lt;DG21))+(($E21=$G21)*(DE21=DG21)))-ISBLANK($E21)*(DE21=DG21)+(($E21-$G21)=(DE21-DG21)))))</f>
        <v/>
      </c>
      <c r="DI21" s="37" t="n"/>
      <c r="DJ21" s="5" t="n"/>
      <c r="DK21" s="2" t="n"/>
      <c r="DL21" s="58" t="inlineStr">
        <is>
          <t>:</t>
        </is>
      </c>
      <c r="DM21" s="2" t="n"/>
      <c r="DN21" s="17">
        <f>IF(ISBLANK($E21),"",(IF(ISBLANK(DK21),0,IF((($E21=DK21)*($G21=DM21))*NOT(ISBLANK($E21)),1,0)+((($E21&gt;$G21)*(DK21&gt;DM21))+(($E21&lt;$G21)*(DK21&lt;DM21))+(($E21=$G21)*(DK21=DM21)))-ISBLANK($E21)*(DK21=DM21)+(($E21-$G21)=(DK21-DM21)))))</f>
        <v/>
      </c>
      <c r="DO21" s="37" t="n"/>
      <c r="DP21" s="5" t="n"/>
      <c r="DQ21" s="2" t="n"/>
      <c r="DR21" s="58" t="inlineStr">
        <is>
          <t>:</t>
        </is>
      </c>
      <c r="DS21" s="2" t="n"/>
      <c r="DT21" s="17">
        <f>IF(ISBLANK($E21),"",(IF(ISBLANK(DQ21),0,IF((($E21=DQ21)*($G21=DS21))*NOT(ISBLANK($E21)),1,0)+((($E21&gt;$G21)*(DQ21&gt;DS21))+(($E21&lt;$G21)*(DQ21&lt;DS21))+(($E21=$G21)*(DQ21=DS21)))-ISBLANK($E21)*(DQ21=DS21)+(($E21-$G21)=(DQ21-DS21)))))</f>
        <v/>
      </c>
      <c r="DU21" s="37" t="n"/>
      <c r="DV21" s="5" t="n"/>
      <c r="DW21" s="2" t="n"/>
      <c r="DX21" s="58" t="inlineStr">
        <is>
          <t>:</t>
        </is>
      </c>
      <c r="DY21" s="2" t="n"/>
      <c r="DZ21" s="17">
        <f>IF(ISBLANK($E21),"",(IF(ISBLANK(DW21),0,IF((($E21=DW21)*($G21=DY21))*NOT(ISBLANK($E21)),1,0)+((($E21&gt;$G21)*(DW21&gt;DY21))+(($E21&lt;$G21)*(DW21&lt;DY21))+(($E21=$G21)*(DW21=DY21)))-ISBLANK($E21)*(DW21=DY21)+(($E21-$G21)=(DW21-DY21)))))</f>
        <v/>
      </c>
      <c r="EA21" s="37" t="n"/>
      <c r="EB21" s="5" t="n"/>
      <c r="EC21" s="2" t="n"/>
      <c r="ED21" s="58" t="inlineStr">
        <is>
          <t>:</t>
        </is>
      </c>
      <c r="EE21" s="2" t="n"/>
      <c r="EF21" s="17">
        <f>IF(ISBLANK($E21),"",(IF(ISBLANK(EC21),0,IF((($E21=EC21)*($G21=EE21))*NOT(ISBLANK($E21)),1,0)+((($E21&gt;$G21)*(EC21&gt;EE21))+(($E21&lt;$G21)*(EC21&lt;EE21))+(($E21=$G21)*(EC21=EE21)))-ISBLANK($E21)*(EC21=EE21)+(($E21-$G21)=(EC21-EE21)))))</f>
        <v/>
      </c>
      <c r="EG21" s="37" t="n"/>
      <c r="EH21" s="5" t="n"/>
      <c r="EI21" s="2" t="n"/>
      <c r="EJ21" s="58" t="inlineStr">
        <is>
          <t>:</t>
        </is>
      </c>
      <c r="EK21" s="2" t="n"/>
      <c r="EL21" s="17">
        <f>IF(ISBLANK($E21),"",(IF(ISBLANK(EI21),0,IF((($E21=EI21)*($G21=EK21))*NOT(ISBLANK($E21)),1,0)+((($E21&gt;$G21)*(EI21&gt;EK21))+(($E21&lt;$G21)*(EI21&lt;EK21))+(($E21=$G21)*(EI21=EK21)))-ISBLANK($E21)*(EI21=EK21)+(($E21-$G21)=(EI21-EK21)))))</f>
        <v/>
      </c>
      <c r="EM21" s="37" t="n"/>
      <c r="EN21" s="5" t="n"/>
      <c r="EO21" s="2" t="n"/>
      <c r="EP21" s="58" t="inlineStr">
        <is>
          <t>:</t>
        </is>
      </c>
      <c r="EQ21" s="2" t="n"/>
      <c r="ER21" s="17">
        <f>IF(ISBLANK($E21),"",(IF(ISBLANK(EO21),0,IF((($E21=EO21)*($G21=EQ21))*NOT(ISBLANK($E21)),1,0)+((($E21&gt;$G21)*(EO21&gt;EQ21))+(($E21&lt;$G21)*(EO21&lt;EQ21))+(($E21=$G21)*(EO21=EQ21)))-ISBLANK($E21)*(EO21=EQ21)+(($E21-$G21)=(EO21-EQ21)))))</f>
        <v/>
      </c>
      <c r="ES21" s="37" t="n"/>
      <c r="ET21" s="5" t="n"/>
      <c r="EU21" s="2" t="n"/>
      <c r="EV21" s="58" t="inlineStr">
        <is>
          <t>:</t>
        </is>
      </c>
      <c r="EW21" s="2" t="n"/>
      <c r="EX21" s="17">
        <f>IF(ISBLANK($E21),"",(IF(ISBLANK(EU21),0,IF((($E21=EU21)*($G21=EW21))*NOT(ISBLANK($E21)),1,0)+((($E21&gt;$G21)*(EU21&gt;EW21))+(($E21&lt;$G21)*(EU21&lt;EW21))+(($E21=$G21)*(EU21=EW21)))-ISBLANK($E21)*(EU21=EW21)+(($E21-$G21)=(EU21-EW21)))))</f>
        <v/>
      </c>
      <c r="EY21" s="37" t="n"/>
      <c r="EZ21" s="5" t="n"/>
      <c r="FA21" s="2" t="n"/>
      <c r="FB21" s="58" t="inlineStr">
        <is>
          <t>:</t>
        </is>
      </c>
      <c r="FC21" s="2" t="n"/>
      <c r="FD21" s="17">
        <f>IF(ISBLANK($E21),"",(IF(ISBLANK(FA21),0,IF((($E21=FA21)*($G21=FC21))*NOT(ISBLANK($E21)),1,0)+((($E21&gt;$G21)*(FA21&gt;FC21))+(($E21&lt;$G21)*(FA21&lt;FC21))+(($E21=$G21)*(FA21=FC21)))-ISBLANK($E21)*(FA21=FC21)+(($E21-$G21)=(FA21-FC21)))))</f>
        <v/>
      </c>
      <c r="FE21" s="37" t="n"/>
      <c r="FF21" s="5" t="n"/>
      <c r="FG21" s="2" t="n"/>
      <c r="FH21" s="58" t="n"/>
      <c r="FI21" s="2" t="n"/>
      <c r="FJ21" s="17">
        <f>IF(ISBLANK($E21),"",(IF(ISBLANK(FG21),0,IF((($E21=FG21)*($G21=FI21))*NOT(ISBLANK($E21)),1,0)+((($E21&gt;$G21)*(FG21&gt;FI21))+(($E21&lt;$G21)*(FG21&lt;FI21))+(($E21=$G21)*(FG21=FI21)))-ISBLANK($E21)*(FG21=FI21)+(($E21-$G21)=(FG21-FI21)))))</f>
        <v/>
      </c>
      <c r="FK21" s="37" t="n"/>
      <c r="FL21" s="5" t="n"/>
      <c r="FM21" s="2" t="n"/>
      <c r="FN21" s="58" t="inlineStr">
        <is>
          <t>:</t>
        </is>
      </c>
      <c r="FO21" s="2" t="n"/>
      <c r="FP21" s="17">
        <f>IF(ISBLANK($E21),"",(IF(ISBLANK(FM21),0,IF((($E21=FM21)*($G21=FO21))*NOT(ISBLANK($E21)),1,0)+((($E21&gt;$G21)*(FM21&gt;FO21))+(($E21&lt;$G21)*(FM21&lt;FO21))+(($E21=$G21)*(FM21=FO21)))-ISBLANK($E21)*(FM21=FO21)+(($E21-$G21)=(FM21-FO21)))))</f>
        <v/>
      </c>
      <c r="FQ21" s="37" t="n"/>
      <c r="FR21" s="5" t="n"/>
      <c r="FS21" s="2" t="n"/>
      <c r="FT21" s="58" t="inlineStr">
        <is>
          <t>:</t>
        </is>
      </c>
      <c r="FU21" s="2" t="n"/>
      <c r="FV21" s="17">
        <f>IF(ISBLANK($E21),"",(IF(ISBLANK(FS21),0,IF((($E21=FS21)*($G21=FU21))*NOT(ISBLANK($E21)),1,0)+((($E21&gt;$G21)*(FS21&gt;FU21))+(($E21&lt;$G21)*(FS21&lt;FU21))+(($E21=$G21)*(FS21=FU21)))-ISBLANK($E21)*(FS21=FU21)+(($E21-$G21)=(FS21-FU21)))))</f>
        <v/>
      </c>
      <c r="FW21" s="37" t="n"/>
      <c r="FX21" s="5" t="n"/>
      <c r="FY21" s="2" t="n"/>
      <c r="FZ21" s="58" t="inlineStr">
        <is>
          <t>:</t>
        </is>
      </c>
      <c r="GA21" s="2" t="n"/>
      <c r="GB21" s="17">
        <f>IF(ISBLANK($E21),"",(IF(ISBLANK(FY21),0,IF((($E21=FY21)*($G21=GA21))*NOT(ISBLANK($E21)),1,0)+((($E21&gt;$G21)*(FY21&gt;GA21))+(($E21&lt;$G21)*(FY21&lt;GA21))+(($E21=$G21)*(FY21=GA21)))-ISBLANK($E21)*(FY21=GA21)+(($E21-$G21)=(FY21-GA21)))))</f>
        <v/>
      </c>
      <c r="GC21" s="37" t="n"/>
      <c r="GD21" s="5" t="n"/>
      <c r="GE21" s="2" t="n"/>
      <c r="GF21" s="58" t="inlineStr">
        <is>
          <t>:</t>
        </is>
      </c>
      <c r="GG21" s="2" t="n"/>
      <c r="GH21" s="17">
        <f>IF(ISBLANK($E21),"",(IF(ISBLANK(GE21),0,IF((($E21=GE21)*($G21=GG21))*NOT(ISBLANK($E21)),1,0)+((($E21&gt;$G21)*(GE21&gt;GG21))+(($E21&lt;$G21)*(GE21&lt;GG21))+(($E21=$G21)*(GE21=GG21)))-ISBLANK($E21)*(GE21=GG21)+(($E21-$G21)=(GE21-GG21)))))</f>
        <v/>
      </c>
      <c r="GI21" s="37" t="n"/>
      <c r="GJ21" s="5" t="n"/>
      <c r="GK21" s="2" t="n"/>
      <c r="GL21" s="58" t="inlineStr">
        <is>
          <t>:</t>
        </is>
      </c>
      <c r="GM21" s="2" t="n"/>
      <c r="GN21" s="17">
        <f>IF(ISBLANK($E21),"",(IF(ISBLANK(GK21),0,IF((($E21=GK21)*($G21=GM21))*NOT(ISBLANK($E21)),1,0)+((($E21&gt;$G21)*(GK21&gt;GM21))+(($E21&lt;$G21)*(GK21&lt;GM21))+(($E21=$G21)*(GK21=GM21)))-ISBLANK($E21)*(GK21=GM21)+(($E21-$G21)=(GK21-GM21)))))</f>
        <v/>
      </c>
      <c r="GO21" s="37" t="n"/>
      <c r="GP21" s="5" t="n"/>
      <c r="GQ21" s="2" t="n"/>
      <c r="GR21" s="58" t="inlineStr">
        <is>
          <t>:</t>
        </is>
      </c>
      <c r="GS21" s="2" t="n"/>
      <c r="GT21" s="17">
        <f>IF(ISBLANK($E21),"",(IF(ISBLANK(GQ21),0,IF((($E21=GQ21)*($G21=GS21))*NOT(ISBLANK($E21)),1,0)+((($E21&gt;$G21)*(GQ21&gt;GS21))+(($E21&lt;$G21)*(GQ21&lt;GS21))+(($E21=$G21)*(GQ21=GS21)))-ISBLANK($E21)*(GQ21=GS21)+(($E21-$G21)=(GQ21-GS21)))))</f>
        <v/>
      </c>
      <c r="GU21" s="37" t="n"/>
      <c r="GV21" s="5" t="n"/>
    </row>
    <row r="22" ht="18" customHeight="1">
      <c r="A22" s="62" t="n"/>
      <c r="B22" s="70" t="n"/>
      <c r="C22" s="78" t="inlineStr">
        <is>
          <t>:</t>
        </is>
      </c>
      <c r="D22" s="70" t="n"/>
      <c r="E22" s="54" t="n"/>
      <c r="F22" s="55" t="inlineStr">
        <is>
          <t>:</t>
        </is>
      </c>
      <c r="G22" s="55" t="n"/>
      <c r="I22" s="49">
        <f>COUNTIF(P22,3)+COUNTIF(V22,3)+COUNTIF(AB22,3)+COUNTIF(AH22,3)+COUNTIF(AN22,3)+COUNTIF(AT22,3)+COUNTIF(AZ22,3)+COUNTIF(BF22,3)+COUNTIF(BL22,3)+COUNTIF(BR22,3)+COUNTIF(BX22,3)+COUNTIF(CD22,3)+COUNTIF(CJ22,3)+COUNTIF(CP22,3)+COUNTIF(CV22,3)+COUNTIF(DB22,3)+COUNTIF(DH22,3)+COUNTIF(DN22,3)+COUNTIF(DT22,3)+COUNTIF(DZ22,3)+COUNTIF(EF22,3)+COUNTIF(EL22,3)+COUNTIF(ER22,3)+COUNTIF(EX22,3)+COUNTIF(FD22,3)+COUNTIF(FJ22,3)+COUNTIF(FP22,3)+COUNTIF(FV22,3)+COUNTIF(GB22,3)+COUNTIF(GH22,3)+COUNTIF(GN22,3)+COUNTIF(GT22,3)</f>
        <v/>
      </c>
      <c r="J22" s="49">
        <f>COUNTIF(P22,2)+COUNTIF(V22,2)+COUNTIF(AB22,2)+COUNTIF(AH22,2)+COUNTIF(AN22,2)+COUNTIF(AT22,2)+COUNTIF(AZ22,2)+COUNTIF(BF22,2)+COUNTIF(BL22,2)+COUNTIF(BR22,2)+COUNTIF(BX22,2)+COUNTIF(CD22,2)+COUNTIF(CJ22,2)+COUNTIF(CP22,2)+COUNTIF(CV22,2)+COUNTIF(DB22,2)+COUNTIF(DH22,2)+COUNTIF(DN22,2)+COUNTIF(DT22,2)+COUNTIF(DZ22,2)+COUNTIF(EF22,2)+COUNTIF(EL22,2)+COUNTIF(ER22,2)+COUNTIF(EX22,2)+COUNTIF(FD22,2)+COUNTIF(FJ22,2)+COUNTIF(FP22,2)+COUNTIF(FV22,2)+COUNTIF(GB22,2)+COUNTIF(GH22,2)+COUNTIF(GN22,2)+COUNTIF(GT22,2)</f>
        <v/>
      </c>
      <c r="K22" s="49">
        <f>COUNTIF(P22,1)+COUNTIF(V22,1)+COUNTIF(AB22,1)+COUNTIF(AH22,1)+COUNTIF(AN22,1)+COUNTIF(AT22,1)+COUNTIF(AZ22,1)+COUNTIF(BF22,1)+COUNTIF(BL22,1)+COUNTIF(BR22,1)+COUNTIF(BX22,1)+COUNTIF(CD22,1)+COUNTIF(CJ22,1)+COUNTIF(CP22,1)+COUNTIF(CV22,1)+COUNTIF(DB22,1)+COUNTIF(DH22,1)+COUNTIF(DN22,1)+COUNTIF(DT22,1)+COUNTIF(DZ22,1)+COUNTIF(EF22,1)+COUNTIF(EL22,1)+COUNTIF(ER22,1)+COUNTIF(EX22,1)+COUNTIF(FD22,1)+COUNTIF(FJ22,1)+COUNTIF(FP22,1)+COUNTIF(FV22,1)+COUNTIF(GB22,1)+COUNTIF(GH22,1)+COUNTIF(GN22,1)+COUNTIF(GT22,1)</f>
        <v/>
      </c>
      <c r="L22" s="5" t="n"/>
      <c r="M22" s="2" t="n"/>
      <c r="N22" s="58" t="inlineStr">
        <is>
          <t>:</t>
        </is>
      </c>
      <c r="O22" s="2" t="n"/>
      <c r="P22" s="17">
        <f>IF(ISBLANK($E22),"",(IF(ISBLANK(M22),0,IF((($E22=M22)*($G22=O22))*NOT(ISBLANK($E22)),1,0)+((($E22&gt;$G22)*(M22&gt;O22))+(($E22&lt;$G22)*(M22&lt;O22))+(($E22=$G22)*(M22=O22)))-ISBLANK($E22)*(M22=O22)+(($E22-$G22)=(M22-O22)))))</f>
        <v/>
      </c>
      <c r="Q22" s="35" t="n"/>
      <c r="R22" s="5" t="n"/>
      <c r="S22" s="2" t="n"/>
      <c r="T22" s="58" t="inlineStr">
        <is>
          <t>:</t>
        </is>
      </c>
      <c r="U22" s="2" t="n"/>
      <c r="V22" s="17">
        <f>IF(ISBLANK($E22),"",(IF(ISBLANK(S22),0,IF((($E22=S22)*($G22=U22))*NOT(ISBLANK($E22)),1,0)+((($E22&gt;$G22)*(S22&gt;U22))+(($E22&lt;$G22)*(S22&lt;U22))+(($E22=$G22)*(S22=U22)))-ISBLANK($E22)*(S22=U22)+(($E22-$G22)=(S22-U22)))))</f>
        <v/>
      </c>
      <c r="W22" s="37" t="n"/>
      <c r="X22" s="5" t="n"/>
      <c r="Y22" s="2" t="n"/>
      <c r="Z22" s="58" t="inlineStr">
        <is>
          <t>:</t>
        </is>
      </c>
      <c r="AA22" s="2" t="n"/>
      <c r="AB22" s="17">
        <f>IF(ISBLANK($E22),"",(IF(ISBLANK(Y22),0,IF((($E22=Y22)*($G22=AA22))*NOT(ISBLANK($E22)),1,0)+((($E22&gt;$G22)*(Y22&gt;AA22))+(($E22&lt;$G22)*(Y22&lt;AA22))+(($E22=$G22)*(Y22=AA22)))-ISBLANK($E22)*(Y22=AA22)+(($E22-$G22)=(Y22-AA22)))))</f>
        <v/>
      </c>
      <c r="AC22" s="37" t="n"/>
      <c r="AD22" s="5" t="n"/>
      <c r="AE22" s="2" t="n"/>
      <c r="AF22" s="58" t="inlineStr">
        <is>
          <t>:</t>
        </is>
      </c>
      <c r="AG22" s="2" t="n"/>
      <c r="AH22" s="17">
        <f>IF(ISBLANK($E22),"",(IF(ISBLANK(AE22),0,IF((($E22=AE22)*($G22=AG22))*NOT(ISBLANK($E22)),1,0)+((($E22&gt;$G22)*(AE22&gt;AG22))+(($E22&lt;$G22)*(AE22&lt;AG22))+(($E22=$G22)*(AE22=AG22)))-ISBLANK($E22)*(AE22=AG22)+(($E22-$G22)=(AE22-AG22)))))</f>
        <v/>
      </c>
      <c r="AI22" s="37" t="n"/>
      <c r="AJ22" s="5" t="n"/>
      <c r="AK22" s="2" t="n"/>
      <c r="AL22" s="58" t="inlineStr">
        <is>
          <t>:</t>
        </is>
      </c>
      <c r="AM22" s="2" t="n"/>
      <c r="AN22" s="17">
        <f>IF(ISBLANK($E22),"",(IF(ISBLANK(AK22),0,IF((($E22=AK22)*($G22=AM22))*NOT(ISBLANK($E22)),1,0)+((($E22&gt;$G22)*(AK22&gt;AM22))+(($E22&lt;$G22)*(AK22&lt;AM22))+(($E22=$G22)*(AK22=AM22)))-ISBLANK($E22)*(AK22=AM22)+(($E22-$G22)=(AK22-AM22)))))</f>
        <v/>
      </c>
      <c r="AO22" s="37" t="n"/>
      <c r="AP22" s="5" t="n"/>
      <c r="AQ22" s="2" t="n"/>
      <c r="AR22" s="58" t="inlineStr">
        <is>
          <t>:</t>
        </is>
      </c>
      <c r="AS22" s="2" t="n"/>
      <c r="AT22" s="17">
        <f>IF(ISBLANK($E22),"",(IF(ISBLANK(AQ22),0,IF((($E22=AQ22)*($G22=AS22))*NOT(ISBLANK($E22)),1,0)+((($E22&gt;$G22)*(AQ22&gt;AS22))+(($E22&lt;$G22)*(AQ22&lt;AS22))+(($E22=$G22)*(AQ22=AS22)))-ISBLANK($E22)*(AQ22=AS22)+(($E22-$G22)=(AQ22-AS22)))))</f>
        <v/>
      </c>
      <c r="AU22" s="37" t="n"/>
      <c r="AV22" s="5" t="n"/>
      <c r="AW22" s="2" t="n"/>
      <c r="AX22" s="58" t="inlineStr">
        <is>
          <t>:</t>
        </is>
      </c>
      <c r="AY22" s="2" t="n"/>
      <c r="AZ22" s="17">
        <f>IF(ISBLANK($E22),"",(IF(ISBLANK(AW22),0,IF((($E22=AW22)*($G22=AY22))*NOT(ISBLANK($E22)),1,0)+((($E22&gt;$G22)*(AW22&gt;AY22))+(($E22&lt;$G22)*(AW22&lt;AY22))+(($E22=$G22)*(AW22=AY22)))-ISBLANK($E22)*(AW22=AY22)+(($E22-$G22)=(AW22-AY22)))))</f>
        <v/>
      </c>
      <c r="BA22" s="37" t="n"/>
      <c r="BB22" s="5" t="n"/>
      <c r="BC22" s="2" t="n"/>
      <c r="BD22" s="58" t="inlineStr">
        <is>
          <t>:</t>
        </is>
      </c>
      <c r="BE22" s="2" t="n"/>
      <c r="BF22" s="17">
        <f>IF(ISBLANK($E22),"",(IF(ISBLANK(BC22),0,IF((($E22=BC22)*($G22=BE22))*NOT(ISBLANK($E22)),1,0)+((($E22&gt;$G22)*(BC22&gt;BE22))+(($E22&lt;$G22)*(BC22&lt;BE22))+(($E22=$G22)*(BC22=BE22)))-ISBLANK($E22)*(BC22=BE22)+(($E22-$G22)=(BC22-BE22)))))</f>
        <v/>
      </c>
      <c r="BG22" s="37" t="n"/>
      <c r="BH22" s="5" t="n"/>
      <c r="BI22" s="2" t="n"/>
      <c r="BJ22" s="58" t="inlineStr">
        <is>
          <t>:</t>
        </is>
      </c>
      <c r="BK22" s="2" t="n"/>
      <c r="BL22" s="17">
        <f>IF(ISBLANK($E22),"",(IF(ISBLANK(BI22),0,IF((($E22=BI22)*($G22=BK22))*NOT(ISBLANK($E22)),1,0)+((($E22&gt;$G22)*(BI22&gt;BK22))+(($E22&lt;$G22)*(BI22&lt;BK22))+(($E22=$G22)*(BI22=BK22)))-ISBLANK($E22)*(BI22=BK22)+(($E22-$G22)=(BI22-BK22)))))</f>
        <v/>
      </c>
      <c r="BM22" s="37" t="n"/>
      <c r="BN22" s="5" t="n"/>
      <c r="BO22" s="2" t="n"/>
      <c r="BP22" s="58" t="inlineStr">
        <is>
          <t>:</t>
        </is>
      </c>
      <c r="BQ22" s="2" t="n"/>
      <c r="BR22" s="17">
        <f>IF(ISBLANK($E22),"",(IF(ISBLANK(BO22),0,IF((($E22=BO22)*($G22=BQ22))*NOT(ISBLANK($E22)),1,0)+((($E22&gt;$G22)*(BO22&gt;BQ22))+(($E22&lt;$G22)*(BO22&lt;BQ22))+(($E22=$G22)*(BO22=BQ22)))-ISBLANK($E22)*(BO22=BQ22)+(($E22-$G22)=(BO22-BQ22)))))</f>
        <v/>
      </c>
      <c r="BS22" s="37" t="n"/>
      <c r="BT22" s="5" t="n"/>
      <c r="BU22" s="2" t="n"/>
      <c r="BV22" s="58" t="inlineStr">
        <is>
          <t>:</t>
        </is>
      </c>
      <c r="BW22" s="2" t="n"/>
      <c r="BX22" s="17">
        <f>IF(ISBLANK($E22),"",(IF(ISBLANK(BU22),0,IF((($E22=BU22)*($G22=BW22))*NOT(ISBLANK($E22)),1,0)+((($E22&gt;$G22)*(BU22&gt;BW22))+(($E22&lt;$G22)*(BU22&lt;BW22))+(($E22=$G22)*(BU22=BW22)))-ISBLANK($E22)*(BU22=BW22)+(($E22-$G22)=(BU22-BW22)))))</f>
        <v/>
      </c>
      <c r="BY22" s="37" t="n"/>
      <c r="BZ22" s="5" t="n"/>
      <c r="CA22" s="2" t="n"/>
      <c r="CB22" s="58" t="inlineStr">
        <is>
          <t>:</t>
        </is>
      </c>
      <c r="CC22" s="2" t="n"/>
      <c r="CD22" s="17">
        <f>IF(ISBLANK($E22),"",(IF(ISBLANK(CA22),0,IF((($E22=CA22)*($G22=CC22))*NOT(ISBLANK($E22)),1,0)+((($E22&gt;$G22)*(CA22&gt;CC22))+(($E22&lt;$G22)*(CA22&lt;CC22))+(($E22=$G22)*(CA22=CC22)))-ISBLANK($E22)*(CA22=CC22)+(($E22-$G22)=(CA22-CC22)))))</f>
        <v/>
      </c>
      <c r="CE22" s="37" t="n"/>
      <c r="CF22" s="5" t="n"/>
      <c r="CG22" s="2" t="n"/>
      <c r="CH22" s="58" t="inlineStr">
        <is>
          <t>:</t>
        </is>
      </c>
      <c r="CI22" s="2" t="n"/>
      <c r="CJ22" s="17">
        <f>IF(ISBLANK($E22),"",(IF(ISBLANK(CG22),0,IF((($E22=CG22)*($G22=CI22))*NOT(ISBLANK($E22)),1,0)+((($E22&gt;$G22)*(CG22&gt;CI22))+(($E22&lt;$G22)*(CG22&lt;CI22))+(($E22=$G22)*(CG22=CI22)))-ISBLANK($E22)*(CG22=CI22)+(($E22-$G22)=(CG22-CI22)))))</f>
        <v/>
      </c>
      <c r="CK22" s="37" t="n"/>
      <c r="CL22" s="5" t="n"/>
      <c r="CM22" s="2" t="n"/>
      <c r="CN22" s="58" t="inlineStr">
        <is>
          <t>:</t>
        </is>
      </c>
      <c r="CO22" s="2" t="n"/>
      <c r="CP22" s="17">
        <f>IF(ISBLANK($E22),"",(IF(ISBLANK(CM22),0,IF((($E22=CM22)*($G22=CO22))*NOT(ISBLANK($E22)),1,0)+((($E22&gt;$G22)*(CM22&gt;CO22))+(($E22&lt;$G22)*(CM22&lt;CO22))+(($E22=$G22)*(CM22=CO22)))-ISBLANK($E22)*(CM22=CO22)+(($E22-$G22)=(CM22-CO22)))))</f>
        <v/>
      </c>
      <c r="CQ22" s="37" t="n"/>
      <c r="CR22" s="5" t="n"/>
      <c r="CS22" s="2" t="n"/>
      <c r="CT22" s="58" t="inlineStr">
        <is>
          <t>:</t>
        </is>
      </c>
      <c r="CU22" s="2" t="n"/>
      <c r="CV22" s="17">
        <f>IF(ISBLANK($E22),"",(IF(ISBLANK(CS22),0,IF((($E22=CS22)*($G22=CU22))*NOT(ISBLANK($E22)),1,0)+((($E22&gt;$G22)*(CS22&gt;CU22))+(($E22&lt;$G22)*(CS22&lt;CU22))+(($E22=$G22)*(CS22=CU22)))-ISBLANK($E22)*(CS22=CU22)+(($E22-$G22)=(CS22-CU22)))))</f>
        <v/>
      </c>
      <c r="CW22" s="37" t="n"/>
      <c r="CX22" s="5" t="n"/>
      <c r="CY22" s="2" t="n"/>
      <c r="CZ22" s="58" t="inlineStr">
        <is>
          <t>:</t>
        </is>
      </c>
      <c r="DA22" s="2" t="n"/>
      <c r="DB22" s="17">
        <f>IF(ISBLANK($E22),"",(IF(ISBLANK(CY22),0,IF((($E22=CY22)*($G22=DA22))*NOT(ISBLANK($E22)),1,0)+((($E22&gt;$G22)*(CY22&gt;DA22))+(($E22&lt;$G22)*(CY22&lt;DA22))+(($E22=$G22)*(CY22=DA22)))-ISBLANK($E22)*(CY22=DA22)+(($E22-$G22)=(CY22-DA22)))))</f>
        <v/>
      </c>
      <c r="DC22" s="37" t="n"/>
      <c r="DD22" s="5" t="n"/>
      <c r="DE22" s="2" t="n"/>
      <c r="DF22" s="58" t="inlineStr">
        <is>
          <t>:</t>
        </is>
      </c>
      <c r="DG22" s="2" t="n"/>
      <c r="DH22" s="17">
        <f>IF(ISBLANK($E22),"",(IF(ISBLANK(DE22),0,IF((($E22=DE22)*($G22=DG22))*NOT(ISBLANK($E22)),1,0)+((($E22&gt;$G22)*(DE22&gt;DG22))+(($E22&lt;$G22)*(DE22&lt;DG22))+(($E22=$G22)*(DE22=DG22)))-ISBLANK($E22)*(DE22=DG22)+(($E22-$G22)=(DE22-DG22)))))</f>
        <v/>
      </c>
      <c r="DI22" s="37" t="n"/>
      <c r="DJ22" s="5" t="n"/>
      <c r="DK22" s="2" t="n"/>
      <c r="DL22" s="58" t="inlineStr">
        <is>
          <t>:</t>
        </is>
      </c>
      <c r="DM22" s="2" t="n"/>
      <c r="DN22" s="17">
        <f>IF(ISBLANK($E22),"",(IF(ISBLANK(DK22),0,IF((($E22=DK22)*($G22=DM22))*NOT(ISBLANK($E22)),1,0)+((($E22&gt;$G22)*(DK22&gt;DM22))+(($E22&lt;$G22)*(DK22&lt;DM22))+(($E22=$G22)*(DK22=DM22)))-ISBLANK($E22)*(DK22=DM22)+(($E22-$G22)=(DK22-DM22)))))</f>
        <v/>
      </c>
      <c r="DO22" s="37" t="n"/>
      <c r="DP22" s="5" t="n"/>
      <c r="DQ22" s="2" t="n"/>
      <c r="DR22" s="58" t="inlineStr">
        <is>
          <t>:</t>
        </is>
      </c>
      <c r="DS22" s="2" t="n"/>
      <c r="DT22" s="17">
        <f>IF(ISBLANK($E22),"",(IF(ISBLANK(DQ22),0,IF((($E22=DQ22)*($G22=DS22))*NOT(ISBLANK($E22)),1,0)+((($E22&gt;$G22)*(DQ22&gt;DS22))+(($E22&lt;$G22)*(DQ22&lt;DS22))+(($E22=$G22)*(DQ22=DS22)))-ISBLANK($E22)*(DQ22=DS22)+(($E22-$G22)=(DQ22-DS22)))))</f>
        <v/>
      </c>
      <c r="DU22" s="37" t="n"/>
      <c r="DV22" s="5" t="n"/>
      <c r="DW22" s="2" t="n"/>
      <c r="DX22" s="58" t="inlineStr">
        <is>
          <t>:</t>
        </is>
      </c>
      <c r="DY22" s="2" t="n"/>
      <c r="DZ22" s="17">
        <f>IF(ISBLANK($E22),"",(IF(ISBLANK(DW22),0,IF((($E22=DW22)*($G22=DY22))*NOT(ISBLANK($E22)),1,0)+((($E22&gt;$G22)*(DW22&gt;DY22))+(($E22&lt;$G22)*(DW22&lt;DY22))+(($E22=$G22)*(DW22=DY22)))-ISBLANK($E22)*(DW22=DY22)+(($E22-$G22)=(DW22-DY22)))))</f>
        <v/>
      </c>
      <c r="EA22" s="37" t="n"/>
      <c r="EB22" s="5" t="n"/>
      <c r="EC22" s="2" t="n"/>
      <c r="ED22" s="58" t="inlineStr">
        <is>
          <t>:</t>
        </is>
      </c>
      <c r="EE22" s="2" t="n"/>
      <c r="EF22" s="17">
        <f>IF(ISBLANK($E22),"",(IF(ISBLANK(EC22),0,IF((($E22=EC22)*($G22=EE22))*NOT(ISBLANK($E22)),1,0)+((($E22&gt;$G22)*(EC22&gt;EE22))+(($E22&lt;$G22)*(EC22&lt;EE22))+(($E22=$G22)*(EC22=EE22)))-ISBLANK($E22)*(EC22=EE22)+(($E22-$G22)=(EC22-EE22)))))</f>
        <v/>
      </c>
      <c r="EG22" s="37" t="n"/>
      <c r="EH22" s="5" t="n"/>
      <c r="EI22" s="2" t="n"/>
      <c r="EJ22" s="58" t="inlineStr">
        <is>
          <t>:</t>
        </is>
      </c>
      <c r="EK22" s="2" t="n"/>
      <c r="EL22" s="17">
        <f>IF(ISBLANK($E22),"",(IF(ISBLANK(EI22),0,IF((($E22=EI22)*($G22=EK22))*NOT(ISBLANK($E22)),1,0)+((($E22&gt;$G22)*(EI22&gt;EK22))+(($E22&lt;$G22)*(EI22&lt;EK22))+(($E22=$G22)*(EI22=EK22)))-ISBLANK($E22)*(EI22=EK22)+(($E22-$G22)=(EI22-EK22)))))</f>
        <v/>
      </c>
      <c r="EM22" s="37" t="n"/>
      <c r="EN22" s="5" t="n"/>
      <c r="EO22" s="2" t="n"/>
      <c r="EP22" s="58" t="inlineStr">
        <is>
          <t>:</t>
        </is>
      </c>
      <c r="EQ22" s="2" t="n"/>
      <c r="ER22" s="17">
        <f>IF(ISBLANK($E22),"",(IF(ISBLANK(EO22),0,IF((($E22=EO22)*($G22=EQ22))*NOT(ISBLANK($E22)),1,0)+((($E22&gt;$G22)*(EO22&gt;EQ22))+(($E22&lt;$G22)*(EO22&lt;EQ22))+(($E22=$G22)*(EO22=EQ22)))-ISBLANK($E22)*(EO22=EQ22)+(($E22-$G22)=(EO22-EQ22)))))</f>
        <v/>
      </c>
      <c r="ES22" s="37" t="n"/>
      <c r="ET22" s="5" t="n"/>
      <c r="EU22" s="2" t="n"/>
      <c r="EV22" s="58" t="inlineStr">
        <is>
          <t>:</t>
        </is>
      </c>
      <c r="EW22" s="2" t="n"/>
      <c r="EX22" s="17">
        <f>IF(ISBLANK($E22),"",(IF(ISBLANK(EU22),0,IF((($E22=EU22)*($G22=EW22))*NOT(ISBLANK($E22)),1,0)+((($E22&gt;$G22)*(EU22&gt;EW22))+(($E22&lt;$G22)*(EU22&lt;EW22))+(($E22=$G22)*(EU22=EW22)))-ISBLANK($E22)*(EU22=EW22)+(($E22-$G22)=(EU22-EW22)))))</f>
        <v/>
      </c>
      <c r="EY22" s="37" t="n"/>
      <c r="EZ22" s="5" t="n"/>
      <c r="FA22" s="2" t="n"/>
      <c r="FB22" s="58" t="inlineStr">
        <is>
          <t>:</t>
        </is>
      </c>
      <c r="FC22" s="2" t="n"/>
      <c r="FD22" s="17">
        <f>IF(ISBLANK($E22),"",(IF(ISBLANK(FA22),0,IF((($E22=FA22)*($G22=FC22))*NOT(ISBLANK($E22)),1,0)+((($E22&gt;$G22)*(FA22&gt;FC22))+(($E22&lt;$G22)*(FA22&lt;FC22))+(($E22=$G22)*(FA22=FC22)))-ISBLANK($E22)*(FA22=FC22)+(($E22-$G22)=(FA22-FC22)))))</f>
        <v/>
      </c>
      <c r="FE22" s="37" t="n"/>
      <c r="FF22" s="5" t="n"/>
      <c r="FG22" s="2" t="n"/>
      <c r="FH22" s="58" t="n"/>
      <c r="FI22" s="2" t="n"/>
      <c r="FJ22" s="17">
        <f>IF(ISBLANK($E22),"",(IF(ISBLANK(FG22),0,IF((($E22=FG22)*($G22=FI22))*NOT(ISBLANK($E22)),1,0)+((($E22&gt;$G22)*(FG22&gt;FI22))+(($E22&lt;$G22)*(FG22&lt;FI22))+(($E22=$G22)*(FG22=FI22)))-ISBLANK($E22)*(FG22=FI22)+(($E22-$G22)=(FG22-FI22)))))</f>
        <v/>
      </c>
      <c r="FK22" s="37" t="n"/>
      <c r="FL22" s="5" t="n"/>
      <c r="FM22" s="2" t="n"/>
      <c r="FN22" s="58" t="inlineStr">
        <is>
          <t>:</t>
        </is>
      </c>
      <c r="FO22" s="2" t="n"/>
      <c r="FP22" s="17">
        <f>IF(ISBLANK($E22),"",(IF(ISBLANK(FM22),0,IF((($E22=FM22)*($G22=FO22))*NOT(ISBLANK($E22)),1,0)+((($E22&gt;$G22)*(FM22&gt;FO22))+(($E22&lt;$G22)*(FM22&lt;FO22))+(($E22=$G22)*(FM22=FO22)))-ISBLANK($E22)*(FM22=FO22)+(($E22-$G22)=(FM22-FO22)))))</f>
        <v/>
      </c>
      <c r="FQ22" s="37" t="n"/>
      <c r="FR22" s="5" t="n"/>
      <c r="FS22" s="2" t="n"/>
      <c r="FT22" s="58" t="inlineStr">
        <is>
          <t>:</t>
        </is>
      </c>
      <c r="FU22" s="2" t="n"/>
      <c r="FV22" s="17">
        <f>IF(ISBLANK($E22),"",(IF(ISBLANK(FS22),0,IF((($E22=FS22)*($G22=FU22))*NOT(ISBLANK($E22)),1,0)+((($E22&gt;$G22)*(FS22&gt;FU22))+(($E22&lt;$G22)*(FS22&lt;FU22))+(($E22=$G22)*(FS22=FU22)))-ISBLANK($E22)*(FS22=FU22)+(($E22-$G22)=(FS22-FU22)))))</f>
        <v/>
      </c>
      <c r="FW22" s="37" t="n"/>
      <c r="FX22" s="5" t="n"/>
      <c r="FY22" s="2" t="n"/>
      <c r="FZ22" s="58" t="inlineStr">
        <is>
          <t>:</t>
        </is>
      </c>
      <c r="GA22" s="2" t="n"/>
      <c r="GB22" s="17">
        <f>IF(ISBLANK($E22),"",(IF(ISBLANK(FY22),0,IF((($E22=FY22)*($G22=GA22))*NOT(ISBLANK($E22)),1,0)+((($E22&gt;$G22)*(FY22&gt;GA22))+(($E22&lt;$G22)*(FY22&lt;GA22))+(($E22=$G22)*(FY22=GA22)))-ISBLANK($E22)*(FY22=GA22)+(($E22-$G22)=(FY22-GA22)))))</f>
        <v/>
      </c>
      <c r="GC22" s="37" t="n"/>
      <c r="GD22" s="5" t="n"/>
      <c r="GE22" s="2" t="n"/>
      <c r="GF22" s="58" t="inlineStr">
        <is>
          <t>:</t>
        </is>
      </c>
      <c r="GG22" s="2" t="n"/>
      <c r="GH22" s="17">
        <f>IF(ISBLANK($E22),"",(IF(ISBLANK(GE22),0,IF((($E22=GE22)*($G22=GG22))*NOT(ISBLANK($E22)),1,0)+((($E22&gt;$G22)*(GE22&gt;GG22))+(($E22&lt;$G22)*(GE22&lt;GG22))+(($E22=$G22)*(GE22=GG22)))-ISBLANK($E22)*(GE22=GG22)+(($E22-$G22)=(GE22-GG22)))))</f>
        <v/>
      </c>
      <c r="GI22" s="37" t="n"/>
      <c r="GJ22" s="5" t="n"/>
      <c r="GK22" s="2" t="n"/>
      <c r="GL22" s="58" t="inlineStr">
        <is>
          <t>:</t>
        </is>
      </c>
      <c r="GM22" s="2" t="n"/>
      <c r="GN22" s="17">
        <f>IF(ISBLANK($E22),"",(IF(ISBLANK(GK22),0,IF((($E22=GK22)*($G22=GM22))*NOT(ISBLANK($E22)),1,0)+((($E22&gt;$G22)*(GK22&gt;GM22))+(($E22&lt;$G22)*(GK22&lt;GM22))+(($E22=$G22)*(GK22=GM22)))-ISBLANK($E22)*(GK22=GM22)+(($E22-$G22)=(GK22-GM22)))))</f>
        <v/>
      </c>
      <c r="GO22" s="37" t="n"/>
      <c r="GP22" s="5" t="n"/>
      <c r="GQ22" s="2" t="n"/>
      <c r="GR22" s="58" t="inlineStr">
        <is>
          <t>:</t>
        </is>
      </c>
      <c r="GS22" s="2" t="n"/>
      <c r="GT22" s="17">
        <f>IF(ISBLANK($E22),"",(IF(ISBLANK(GQ22),0,IF((($E22=GQ22)*($G22=GS22))*NOT(ISBLANK($E22)),1,0)+((($E22&gt;$G22)*(GQ22&gt;GS22))+(($E22&lt;$G22)*(GQ22&lt;GS22))+(($E22=$G22)*(GQ22=GS22)))-ISBLANK($E22)*(GQ22=GS22)+(($E22-$G22)=(GQ22-GS22)))))</f>
        <v/>
      </c>
      <c r="GU22" s="37" t="n"/>
      <c r="GV22" s="5" t="n"/>
    </row>
    <row r="23" ht="18" customHeight="1">
      <c r="A23" s="62" t="n"/>
      <c r="B23" s="70" t="n"/>
      <c r="C23" s="78" t="inlineStr">
        <is>
          <t>:</t>
        </is>
      </c>
      <c r="D23" s="70" t="n"/>
      <c r="E23" s="54" t="n"/>
      <c r="F23" s="55" t="inlineStr">
        <is>
          <t>:</t>
        </is>
      </c>
      <c r="G23" s="55" t="n"/>
      <c r="I23" s="49">
        <f>COUNTIF(P23,3)+COUNTIF(V23,3)+COUNTIF(AB23,3)+COUNTIF(AH23,3)+COUNTIF(AN23,3)+COUNTIF(AT23,3)+COUNTIF(AZ23,3)+COUNTIF(BF23,3)+COUNTIF(BL23,3)+COUNTIF(BR23,3)+COUNTIF(BX23,3)+COUNTIF(CD23,3)+COUNTIF(CJ23,3)+COUNTIF(CP23,3)+COUNTIF(CV23,3)+COUNTIF(DB23,3)+COUNTIF(DH23,3)+COUNTIF(DN23,3)+COUNTIF(DT23,3)+COUNTIF(DZ23,3)+COUNTIF(EF23,3)+COUNTIF(EL23,3)+COUNTIF(ER23,3)+COUNTIF(EX23,3)+COUNTIF(FD23,3)+COUNTIF(FJ23,3)+COUNTIF(FP23,3)+COUNTIF(FV23,3)+COUNTIF(GB23,3)+COUNTIF(GH23,3)+COUNTIF(GN23,3)+COUNTIF(GT23,3)</f>
        <v/>
      </c>
      <c r="J23" s="49">
        <f>COUNTIF(P23,2)+COUNTIF(V23,2)+COUNTIF(AB23,2)+COUNTIF(AH23,2)+COUNTIF(AN23,2)+COUNTIF(AT23,2)+COUNTIF(AZ23,2)+COUNTIF(BF23,2)+COUNTIF(BL23,2)+COUNTIF(BR23,2)+COUNTIF(BX23,2)+COUNTIF(CD23,2)+COUNTIF(CJ23,2)+COUNTIF(CP23,2)+COUNTIF(CV23,2)+COUNTIF(DB23,2)+COUNTIF(DH23,2)+COUNTIF(DN23,2)+COUNTIF(DT23,2)+COUNTIF(DZ23,2)+COUNTIF(EF23,2)+COUNTIF(EL23,2)+COUNTIF(ER23,2)+COUNTIF(EX23,2)+COUNTIF(FD23,2)+COUNTIF(FJ23,2)+COUNTIF(FP23,2)+COUNTIF(FV23,2)+COUNTIF(GB23,2)+COUNTIF(GH23,2)+COUNTIF(GN23,2)+COUNTIF(GT23,2)</f>
        <v/>
      </c>
      <c r="K23" s="49">
        <f>COUNTIF(P23,1)+COUNTIF(V23,1)+COUNTIF(AB23,1)+COUNTIF(AH23,1)+COUNTIF(AN23,1)+COUNTIF(AT23,1)+COUNTIF(AZ23,1)+COUNTIF(BF23,1)+COUNTIF(BL23,1)+COUNTIF(BR23,1)+COUNTIF(BX23,1)+COUNTIF(CD23,1)+COUNTIF(CJ23,1)+COUNTIF(CP23,1)+COUNTIF(CV23,1)+COUNTIF(DB23,1)+COUNTIF(DH23,1)+COUNTIF(DN23,1)+COUNTIF(DT23,1)+COUNTIF(DZ23,1)+COUNTIF(EF23,1)+COUNTIF(EL23,1)+COUNTIF(ER23,1)+COUNTIF(EX23,1)+COUNTIF(FD23,1)+COUNTIF(FJ23,1)+COUNTIF(FP23,1)+COUNTIF(FV23,1)+COUNTIF(GB23,1)+COUNTIF(GH23,1)+COUNTIF(GN23,1)+COUNTIF(GT23,1)</f>
        <v/>
      </c>
      <c r="L23" s="5" t="n"/>
      <c r="M23" s="2" t="n"/>
      <c r="N23" s="58" t="inlineStr">
        <is>
          <t>:</t>
        </is>
      </c>
      <c r="O23" s="2" t="n"/>
      <c r="P23" s="17">
        <f>IF(ISBLANK($E23),"",(IF(ISBLANK(M23),0,IF((($E23=M23)*($G23=O23))*NOT(ISBLANK($E23)),1,0)+((($E23&gt;$G23)*(M23&gt;O23))+(($E23&lt;$G23)*(M23&lt;O23))+(($E23=$G23)*(M23=O23)))-ISBLANK($E23)*(M23=O23)+(($E23-$G23)=(M23-O23)))))</f>
        <v/>
      </c>
      <c r="Q23" s="35" t="n"/>
      <c r="R23" s="5" t="n"/>
      <c r="S23" s="2" t="n"/>
      <c r="T23" s="58" t="inlineStr">
        <is>
          <t>:</t>
        </is>
      </c>
      <c r="U23" s="2" t="n"/>
      <c r="V23" s="17">
        <f>IF(ISBLANK($E23),"",(IF(ISBLANK(S23),0,IF((($E23=S23)*($G23=U23))*NOT(ISBLANK($E23)),1,0)+((($E23&gt;$G23)*(S23&gt;U23))+(($E23&lt;$G23)*(S23&lt;U23))+(($E23=$G23)*(S23=U23)))-ISBLANK($E23)*(S23=U23)+(($E23-$G23)=(S23-U23)))))</f>
        <v/>
      </c>
      <c r="W23" s="37" t="n"/>
      <c r="X23" s="5" t="n"/>
      <c r="Y23" s="2" t="n"/>
      <c r="Z23" s="58" t="inlineStr">
        <is>
          <t>:</t>
        </is>
      </c>
      <c r="AA23" s="2" t="n"/>
      <c r="AB23" s="17">
        <f>IF(ISBLANK($E23),"",(IF(ISBLANK(Y23),0,IF((($E23=Y23)*($G23=AA23))*NOT(ISBLANK($E23)),1,0)+((($E23&gt;$G23)*(Y23&gt;AA23))+(($E23&lt;$G23)*(Y23&lt;AA23))+(($E23=$G23)*(Y23=AA23)))-ISBLANK($E23)*(Y23=AA23)+(($E23-$G23)=(Y23-AA23)))))</f>
        <v/>
      </c>
      <c r="AC23" s="37" t="n"/>
      <c r="AD23" s="5" t="n"/>
      <c r="AE23" s="2" t="n"/>
      <c r="AF23" s="58" t="inlineStr">
        <is>
          <t>:</t>
        </is>
      </c>
      <c r="AG23" s="2" t="n"/>
      <c r="AH23" s="17">
        <f>IF(ISBLANK($E23),"",(IF(ISBLANK(AE23),0,IF((($E23=AE23)*($G23=AG23))*NOT(ISBLANK($E23)),1,0)+((($E23&gt;$G23)*(AE23&gt;AG23))+(($E23&lt;$G23)*(AE23&lt;AG23))+(($E23=$G23)*(AE23=AG23)))-ISBLANK($E23)*(AE23=AG23)+(($E23-$G23)=(AE23-AG23)))))</f>
        <v/>
      </c>
      <c r="AI23" s="37" t="n"/>
      <c r="AJ23" s="5" t="n"/>
      <c r="AK23" s="2" t="n"/>
      <c r="AL23" s="58" t="inlineStr">
        <is>
          <t>:</t>
        </is>
      </c>
      <c r="AM23" s="2" t="n"/>
      <c r="AN23" s="17">
        <f>IF(ISBLANK($E23),"",(IF(ISBLANK(AK23),0,IF((($E23=AK23)*($G23=AM23))*NOT(ISBLANK($E23)),1,0)+((($E23&gt;$G23)*(AK23&gt;AM23))+(($E23&lt;$G23)*(AK23&lt;AM23))+(($E23=$G23)*(AK23=AM23)))-ISBLANK($E23)*(AK23=AM23)+(($E23-$G23)=(AK23-AM23)))))</f>
        <v/>
      </c>
      <c r="AO23" s="37" t="n"/>
      <c r="AP23" s="5" t="n"/>
      <c r="AQ23" s="2" t="n"/>
      <c r="AR23" s="58" t="inlineStr">
        <is>
          <t>:</t>
        </is>
      </c>
      <c r="AS23" s="2" t="n"/>
      <c r="AT23" s="17">
        <f>IF(ISBLANK($E23),"",(IF(ISBLANK(AQ23),0,IF((($E23=AQ23)*($G23=AS23))*NOT(ISBLANK($E23)),1,0)+((($E23&gt;$G23)*(AQ23&gt;AS23))+(($E23&lt;$G23)*(AQ23&lt;AS23))+(($E23=$G23)*(AQ23=AS23)))-ISBLANK($E23)*(AQ23=AS23)+(($E23-$G23)=(AQ23-AS23)))))</f>
        <v/>
      </c>
      <c r="AU23" s="37" t="n"/>
      <c r="AV23" s="5" t="n"/>
      <c r="AW23" s="2" t="n"/>
      <c r="AX23" s="58" t="inlineStr">
        <is>
          <t>:</t>
        </is>
      </c>
      <c r="AY23" s="2" t="n"/>
      <c r="AZ23" s="17">
        <f>IF(ISBLANK($E23),"",(IF(ISBLANK(AW23),0,IF((($E23=AW23)*($G23=AY23))*NOT(ISBLANK($E23)),1,0)+((($E23&gt;$G23)*(AW23&gt;AY23))+(($E23&lt;$G23)*(AW23&lt;AY23))+(($E23=$G23)*(AW23=AY23)))-ISBLANK($E23)*(AW23=AY23)+(($E23-$G23)=(AW23-AY23)))))</f>
        <v/>
      </c>
      <c r="BA23" s="37" t="n"/>
      <c r="BB23" s="5" t="n"/>
      <c r="BC23" s="2" t="n"/>
      <c r="BD23" s="58" t="inlineStr">
        <is>
          <t>:</t>
        </is>
      </c>
      <c r="BE23" s="2" t="n"/>
      <c r="BF23" s="17">
        <f>IF(ISBLANK($E23),"",(IF(ISBLANK(BC23),0,IF((($E23=BC23)*($G23=BE23))*NOT(ISBLANK($E23)),1,0)+((($E23&gt;$G23)*(BC23&gt;BE23))+(($E23&lt;$G23)*(BC23&lt;BE23))+(($E23=$G23)*(BC23=BE23)))-ISBLANK($E23)*(BC23=BE23)+(($E23-$G23)=(BC23-BE23)))))</f>
        <v/>
      </c>
      <c r="BG23" s="37" t="n"/>
      <c r="BH23" s="5" t="n"/>
      <c r="BI23" s="2" t="n"/>
      <c r="BJ23" s="58" t="inlineStr">
        <is>
          <t>:</t>
        </is>
      </c>
      <c r="BK23" s="2" t="n"/>
      <c r="BL23" s="17">
        <f>IF(ISBLANK($E23),"",(IF(ISBLANK(BI23),0,IF((($E23=BI23)*($G23=BK23))*NOT(ISBLANK($E23)),1,0)+((($E23&gt;$G23)*(BI23&gt;BK23))+(($E23&lt;$G23)*(BI23&lt;BK23))+(($E23=$G23)*(BI23=BK23)))-ISBLANK($E23)*(BI23=BK23)+(($E23-$G23)=(BI23-BK23)))))</f>
        <v/>
      </c>
      <c r="BM23" s="37" t="n"/>
      <c r="BN23" s="5" t="n"/>
      <c r="BO23" s="2" t="n"/>
      <c r="BP23" s="58" t="inlineStr">
        <is>
          <t>:</t>
        </is>
      </c>
      <c r="BQ23" s="2" t="n"/>
      <c r="BR23" s="17">
        <f>IF(ISBLANK($E23),"",(IF(ISBLANK(BO23),0,IF((($E23=BO23)*($G23=BQ23))*NOT(ISBLANK($E23)),1,0)+((($E23&gt;$G23)*(BO23&gt;BQ23))+(($E23&lt;$G23)*(BO23&lt;BQ23))+(($E23=$G23)*(BO23=BQ23)))-ISBLANK($E23)*(BO23=BQ23)+(($E23-$G23)=(BO23-BQ23)))))</f>
        <v/>
      </c>
      <c r="BS23" s="37" t="n"/>
      <c r="BT23" s="5" t="n"/>
      <c r="BU23" s="2" t="n"/>
      <c r="BV23" s="58" t="inlineStr">
        <is>
          <t>:</t>
        </is>
      </c>
      <c r="BW23" s="2" t="n"/>
      <c r="BX23" s="17">
        <f>IF(ISBLANK($E23),"",(IF(ISBLANK(BU23),0,IF((($E23=BU23)*($G23=BW23))*NOT(ISBLANK($E23)),1,0)+((($E23&gt;$G23)*(BU23&gt;BW23))+(($E23&lt;$G23)*(BU23&lt;BW23))+(($E23=$G23)*(BU23=BW23)))-ISBLANK($E23)*(BU23=BW23)+(($E23-$G23)=(BU23-BW23)))))</f>
        <v/>
      </c>
      <c r="BY23" s="37" t="n"/>
      <c r="BZ23" s="5" t="n"/>
      <c r="CA23" s="2" t="n"/>
      <c r="CB23" s="58" t="inlineStr">
        <is>
          <t>:</t>
        </is>
      </c>
      <c r="CC23" s="2" t="n"/>
      <c r="CD23" s="17">
        <f>IF(ISBLANK($E23),"",(IF(ISBLANK(CA23),0,IF((($E23=CA23)*($G23=CC23))*NOT(ISBLANK($E23)),1,0)+((($E23&gt;$G23)*(CA23&gt;CC23))+(($E23&lt;$G23)*(CA23&lt;CC23))+(($E23=$G23)*(CA23=CC23)))-ISBLANK($E23)*(CA23=CC23)+(($E23-$G23)=(CA23-CC23)))))</f>
        <v/>
      </c>
      <c r="CE23" s="37" t="n"/>
      <c r="CF23" s="5" t="n"/>
      <c r="CG23" s="2" t="n"/>
      <c r="CH23" s="58" t="inlineStr">
        <is>
          <t>:</t>
        </is>
      </c>
      <c r="CI23" s="2" t="n"/>
      <c r="CJ23" s="17">
        <f>IF(ISBLANK($E23),"",(IF(ISBLANK(CG23),0,IF((($E23=CG23)*($G23=CI23))*NOT(ISBLANK($E23)),1,0)+((($E23&gt;$G23)*(CG23&gt;CI23))+(($E23&lt;$G23)*(CG23&lt;CI23))+(($E23=$G23)*(CG23=CI23)))-ISBLANK($E23)*(CG23=CI23)+(($E23-$G23)=(CG23-CI23)))))</f>
        <v/>
      </c>
      <c r="CK23" s="37" t="n"/>
      <c r="CL23" s="5" t="n"/>
      <c r="CM23" s="2" t="n"/>
      <c r="CN23" s="58" t="inlineStr">
        <is>
          <t>:</t>
        </is>
      </c>
      <c r="CO23" s="2" t="n"/>
      <c r="CP23" s="17">
        <f>IF(ISBLANK($E23),"",(IF(ISBLANK(CM23),0,IF((($E23=CM23)*($G23=CO23))*NOT(ISBLANK($E23)),1,0)+((($E23&gt;$G23)*(CM23&gt;CO23))+(($E23&lt;$G23)*(CM23&lt;CO23))+(($E23=$G23)*(CM23=CO23)))-ISBLANK($E23)*(CM23=CO23)+(($E23-$G23)=(CM23-CO23)))))</f>
        <v/>
      </c>
      <c r="CQ23" s="37" t="n"/>
      <c r="CR23" s="5" t="n"/>
      <c r="CS23" s="2" t="n"/>
      <c r="CT23" s="58" t="inlineStr">
        <is>
          <t>:</t>
        </is>
      </c>
      <c r="CU23" s="2" t="n"/>
      <c r="CV23" s="17">
        <f>IF(ISBLANK($E23),"",(IF(ISBLANK(CS23),0,IF((($E23=CS23)*($G23=CU23))*NOT(ISBLANK($E23)),1,0)+((($E23&gt;$G23)*(CS23&gt;CU23))+(($E23&lt;$G23)*(CS23&lt;CU23))+(($E23=$G23)*(CS23=CU23)))-ISBLANK($E23)*(CS23=CU23)+(($E23-$G23)=(CS23-CU23)))))</f>
        <v/>
      </c>
      <c r="CW23" s="37" t="n"/>
      <c r="CX23" s="5" t="n"/>
      <c r="CY23" s="2" t="n"/>
      <c r="CZ23" s="58" t="inlineStr">
        <is>
          <t>:</t>
        </is>
      </c>
      <c r="DA23" s="2" t="n"/>
      <c r="DB23" s="17">
        <f>IF(ISBLANK($E23),"",(IF(ISBLANK(CY23),0,IF((($E23=CY23)*($G23=DA23))*NOT(ISBLANK($E23)),1,0)+((($E23&gt;$G23)*(CY23&gt;DA23))+(($E23&lt;$G23)*(CY23&lt;DA23))+(($E23=$G23)*(CY23=DA23)))-ISBLANK($E23)*(CY23=DA23)+(($E23-$G23)=(CY23-DA23)))))</f>
        <v/>
      </c>
      <c r="DC23" s="37" t="n"/>
      <c r="DD23" s="5" t="n"/>
      <c r="DE23" s="2" t="n"/>
      <c r="DF23" s="58" t="inlineStr">
        <is>
          <t>:</t>
        </is>
      </c>
      <c r="DG23" s="2" t="n"/>
      <c r="DH23" s="17">
        <f>IF(ISBLANK($E23),"",(IF(ISBLANK(DE23),0,IF((($E23=DE23)*($G23=DG23))*NOT(ISBLANK($E23)),1,0)+((($E23&gt;$G23)*(DE23&gt;DG23))+(($E23&lt;$G23)*(DE23&lt;DG23))+(($E23=$G23)*(DE23=DG23)))-ISBLANK($E23)*(DE23=DG23)+(($E23-$G23)=(DE23-DG23)))))</f>
        <v/>
      </c>
      <c r="DI23" s="37" t="n"/>
      <c r="DJ23" s="5" t="n"/>
      <c r="DK23" s="2" t="n"/>
      <c r="DL23" s="58" t="inlineStr">
        <is>
          <t>:</t>
        </is>
      </c>
      <c r="DM23" s="2" t="n"/>
      <c r="DN23" s="17">
        <f>IF(ISBLANK($E23),"",(IF(ISBLANK(DK23),0,IF((($E23=DK23)*($G23=DM23))*NOT(ISBLANK($E23)),1,0)+((($E23&gt;$G23)*(DK23&gt;DM23))+(($E23&lt;$G23)*(DK23&lt;DM23))+(($E23=$G23)*(DK23=DM23)))-ISBLANK($E23)*(DK23=DM23)+(($E23-$G23)=(DK23-DM23)))))</f>
        <v/>
      </c>
      <c r="DO23" s="37" t="n"/>
      <c r="DP23" s="5" t="n"/>
      <c r="DQ23" s="2" t="n"/>
      <c r="DR23" s="58" t="inlineStr">
        <is>
          <t>:</t>
        </is>
      </c>
      <c r="DS23" s="2" t="n"/>
      <c r="DT23" s="17">
        <f>IF(ISBLANK($E23),"",(IF(ISBLANK(DQ23),0,IF((($E23=DQ23)*($G23=DS23))*NOT(ISBLANK($E23)),1,0)+((($E23&gt;$G23)*(DQ23&gt;DS23))+(($E23&lt;$G23)*(DQ23&lt;DS23))+(($E23=$G23)*(DQ23=DS23)))-ISBLANK($E23)*(DQ23=DS23)+(($E23-$G23)=(DQ23-DS23)))))</f>
        <v/>
      </c>
      <c r="DU23" s="37" t="n"/>
      <c r="DV23" s="5" t="n"/>
      <c r="DW23" s="2" t="n"/>
      <c r="DX23" s="58" t="inlineStr">
        <is>
          <t>:</t>
        </is>
      </c>
      <c r="DY23" s="2" t="n"/>
      <c r="DZ23" s="17">
        <f>IF(ISBLANK($E23),"",(IF(ISBLANK(DW23),0,IF((($E23=DW23)*($G23=DY23))*NOT(ISBLANK($E23)),1,0)+((($E23&gt;$G23)*(DW23&gt;DY23))+(($E23&lt;$G23)*(DW23&lt;DY23))+(($E23=$G23)*(DW23=DY23)))-ISBLANK($E23)*(DW23=DY23)+(($E23-$G23)=(DW23-DY23)))))</f>
        <v/>
      </c>
      <c r="EA23" s="37" t="n"/>
      <c r="EB23" s="5" t="n"/>
      <c r="EC23" s="2" t="n"/>
      <c r="ED23" s="58" t="inlineStr">
        <is>
          <t>:</t>
        </is>
      </c>
      <c r="EE23" s="2" t="n"/>
      <c r="EF23" s="17">
        <f>IF(ISBLANK($E23),"",(IF(ISBLANK(EC23),0,IF((($E23=EC23)*($G23=EE23))*NOT(ISBLANK($E23)),1,0)+((($E23&gt;$G23)*(EC23&gt;EE23))+(($E23&lt;$G23)*(EC23&lt;EE23))+(($E23=$G23)*(EC23=EE23)))-ISBLANK($E23)*(EC23=EE23)+(($E23-$G23)=(EC23-EE23)))))</f>
        <v/>
      </c>
      <c r="EG23" s="37" t="n"/>
      <c r="EH23" s="5" t="n"/>
      <c r="EI23" s="2" t="n"/>
      <c r="EJ23" s="58" t="inlineStr">
        <is>
          <t>:</t>
        </is>
      </c>
      <c r="EK23" s="2" t="n"/>
      <c r="EL23" s="17">
        <f>IF(ISBLANK($E23),"",(IF(ISBLANK(EI23),0,IF((($E23=EI23)*($G23=EK23))*NOT(ISBLANK($E23)),1,0)+((($E23&gt;$G23)*(EI23&gt;EK23))+(($E23&lt;$G23)*(EI23&lt;EK23))+(($E23=$G23)*(EI23=EK23)))-ISBLANK($E23)*(EI23=EK23)+(($E23-$G23)=(EI23-EK23)))))</f>
        <v/>
      </c>
      <c r="EM23" s="37" t="n"/>
      <c r="EN23" s="5" t="n"/>
      <c r="EO23" s="2" t="n"/>
      <c r="EP23" s="58" t="inlineStr">
        <is>
          <t>:</t>
        </is>
      </c>
      <c r="EQ23" s="2" t="n"/>
      <c r="ER23" s="17">
        <f>IF(ISBLANK($E23),"",(IF(ISBLANK(EO23),0,IF((($E23=EO23)*($G23=EQ23))*NOT(ISBLANK($E23)),1,0)+((($E23&gt;$G23)*(EO23&gt;EQ23))+(($E23&lt;$G23)*(EO23&lt;EQ23))+(($E23=$G23)*(EO23=EQ23)))-ISBLANK($E23)*(EO23=EQ23)+(($E23-$G23)=(EO23-EQ23)))))</f>
        <v/>
      </c>
      <c r="ES23" s="37" t="n"/>
      <c r="ET23" s="5" t="n"/>
      <c r="EU23" s="2" t="n"/>
      <c r="EV23" s="58" t="inlineStr">
        <is>
          <t>:</t>
        </is>
      </c>
      <c r="EW23" s="2" t="n"/>
      <c r="EX23" s="17">
        <f>IF(ISBLANK($E23),"",(IF(ISBLANK(EU23),0,IF((($E23=EU23)*($G23=EW23))*NOT(ISBLANK($E23)),1,0)+((($E23&gt;$G23)*(EU23&gt;EW23))+(($E23&lt;$G23)*(EU23&lt;EW23))+(($E23=$G23)*(EU23=EW23)))-ISBLANK($E23)*(EU23=EW23)+(($E23-$G23)=(EU23-EW23)))))</f>
        <v/>
      </c>
      <c r="EY23" s="37" t="n"/>
      <c r="EZ23" s="5" t="n"/>
      <c r="FA23" s="2" t="n"/>
      <c r="FB23" s="58" t="inlineStr">
        <is>
          <t>:</t>
        </is>
      </c>
      <c r="FC23" s="2" t="n"/>
      <c r="FD23" s="17">
        <f>IF(ISBLANK($E23),"",(IF(ISBLANK(FA23),0,IF((($E23=FA23)*($G23=FC23))*NOT(ISBLANK($E23)),1,0)+((($E23&gt;$G23)*(FA23&gt;FC23))+(($E23&lt;$G23)*(FA23&lt;FC23))+(($E23=$G23)*(FA23=FC23)))-ISBLANK($E23)*(FA23=FC23)+(($E23-$G23)=(FA23-FC23)))))</f>
        <v/>
      </c>
      <c r="FE23" s="37" t="n"/>
      <c r="FF23" s="5" t="n"/>
      <c r="FG23" s="2" t="n"/>
      <c r="FH23" s="58" t="n"/>
      <c r="FI23" s="2" t="n"/>
      <c r="FJ23" s="17">
        <f>IF(ISBLANK($E23),"",(IF(ISBLANK(FG23),0,IF((($E23=FG23)*($G23=FI23))*NOT(ISBLANK($E23)),1,0)+((($E23&gt;$G23)*(FG23&gt;FI23))+(($E23&lt;$G23)*(FG23&lt;FI23))+(($E23=$G23)*(FG23=FI23)))-ISBLANK($E23)*(FG23=FI23)+(($E23-$G23)=(FG23-FI23)))))</f>
        <v/>
      </c>
      <c r="FK23" s="37" t="n"/>
      <c r="FL23" s="5" t="n"/>
      <c r="FM23" s="2" t="n"/>
      <c r="FN23" s="58" t="inlineStr">
        <is>
          <t>:</t>
        </is>
      </c>
      <c r="FO23" s="2" t="n"/>
      <c r="FP23" s="17">
        <f>IF(ISBLANK($E23),"",(IF(ISBLANK(FM23),0,IF((($E23=FM23)*($G23=FO23))*NOT(ISBLANK($E23)),1,0)+((($E23&gt;$G23)*(FM23&gt;FO23))+(($E23&lt;$G23)*(FM23&lt;FO23))+(($E23=$G23)*(FM23=FO23)))-ISBLANK($E23)*(FM23=FO23)+(($E23-$G23)=(FM23-FO23)))))</f>
        <v/>
      </c>
      <c r="FQ23" s="37" t="n"/>
      <c r="FR23" s="5" t="n"/>
      <c r="FS23" s="2" t="n"/>
      <c r="FT23" s="58" t="inlineStr">
        <is>
          <t>:</t>
        </is>
      </c>
      <c r="FU23" s="2" t="n"/>
      <c r="FV23" s="17">
        <f>IF(ISBLANK($E23),"",(IF(ISBLANK(FS23),0,IF((($E23=FS23)*($G23=FU23))*NOT(ISBLANK($E23)),1,0)+((($E23&gt;$G23)*(FS23&gt;FU23))+(($E23&lt;$G23)*(FS23&lt;FU23))+(($E23=$G23)*(FS23=FU23)))-ISBLANK($E23)*(FS23=FU23)+(($E23-$G23)=(FS23-FU23)))))</f>
        <v/>
      </c>
      <c r="FW23" s="37" t="n"/>
      <c r="FX23" s="5" t="n"/>
      <c r="FY23" s="2" t="n"/>
      <c r="FZ23" s="58" t="inlineStr">
        <is>
          <t>:</t>
        </is>
      </c>
      <c r="GA23" s="2" t="n"/>
      <c r="GB23" s="17">
        <f>IF(ISBLANK($E23),"",(IF(ISBLANK(FY23),0,IF((($E23=FY23)*($G23=GA23))*NOT(ISBLANK($E23)),1,0)+((($E23&gt;$G23)*(FY23&gt;GA23))+(($E23&lt;$G23)*(FY23&lt;GA23))+(($E23=$G23)*(FY23=GA23)))-ISBLANK($E23)*(FY23=GA23)+(($E23-$G23)=(FY23-GA23)))))</f>
        <v/>
      </c>
      <c r="GC23" s="37" t="n"/>
      <c r="GD23" s="5" t="n"/>
      <c r="GE23" s="2" t="n"/>
      <c r="GF23" s="58" t="inlineStr">
        <is>
          <t>:</t>
        </is>
      </c>
      <c r="GG23" s="2" t="n"/>
      <c r="GH23" s="17">
        <f>IF(ISBLANK($E23),"",(IF(ISBLANK(GE23),0,IF((($E23=GE23)*($G23=GG23))*NOT(ISBLANK($E23)),1,0)+((($E23&gt;$G23)*(GE23&gt;GG23))+(($E23&lt;$G23)*(GE23&lt;GG23))+(($E23=$G23)*(GE23=GG23)))-ISBLANK($E23)*(GE23=GG23)+(($E23-$G23)=(GE23-GG23)))))</f>
        <v/>
      </c>
      <c r="GI23" s="37" t="n"/>
      <c r="GJ23" s="5" t="n"/>
      <c r="GK23" s="2" t="n"/>
      <c r="GL23" s="58" t="inlineStr">
        <is>
          <t>:</t>
        </is>
      </c>
      <c r="GM23" s="2" t="n"/>
      <c r="GN23" s="17">
        <f>IF(ISBLANK($E23),"",(IF(ISBLANK(GK23),0,IF((($E23=GK23)*($G23=GM23))*NOT(ISBLANK($E23)),1,0)+((($E23&gt;$G23)*(GK23&gt;GM23))+(($E23&lt;$G23)*(GK23&lt;GM23))+(($E23=$G23)*(GK23=GM23)))-ISBLANK($E23)*(GK23=GM23)+(($E23-$G23)=(GK23-GM23)))))</f>
        <v/>
      </c>
      <c r="GO23" s="37" t="n"/>
      <c r="GP23" s="5" t="n"/>
      <c r="GQ23" s="2" t="n"/>
      <c r="GR23" s="58" t="inlineStr">
        <is>
          <t>:</t>
        </is>
      </c>
      <c r="GS23" s="2" t="n"/>
      <c r="GT23" s="17">
        <f>IF(ISBLANK($E23),"",(IF(ISBLANK(GQ23),0,IF((($E23=GQ23)*($G23=GS23))*NOT(ISBLANK($E23)),1,0)+((($E23&gt;$G23)*(GQ23&gt;GS23))+(($E23&lt;$G23)*(GQ23&lt;GS23))+(($E23=$G23)*(GQ23=GS23)))-ISBLANK($E23)*(GQ23=GS23)+(($E23-$G23)=(GQ23-GS23)))))</f>
        <v/>
      </c>
      <c r="GU23" s="37" t="n"/>
      <c r="GV23" s="5" t="n"/>
    </row>
    <row r="24" ht="18" customHeight="1">
      <c r="A24" s="62" t="n"/>
      <c r="B24" s="70" t="n"/>
      <c r="C24" s="78" t="inlineStr">
        <is>
          <t>:</t>
        </is>
      </c>
      <c r="D24" s="70" t="n"/>
      <c r="E24" s="54" t="n"/>
      <c r="F24" s="55" t="inlineStr">
        <is>
          <t>:</t>
        </is>
      </c>
      <c r="G24" s="55" t="n"/>
      <c r="I24" s="49">
        <f>COUNTIF(P24,3)+COUNTIF(V24,3)+COUNTIF(AB24,3)+COUNTIF(AH24,3)+COUNTIF(AN24,3)+COUNTIF(AT24,3)+COUNTIF(AZ24,3)+COUNTIF(BF24,3)+COUNTIF(BL24,3)+COUNTIF(BR24,3)+COUNTIF(BX24,3)+COUNTIF(CD24,3)+COUNTIF(CJ24,3)+COUNTIF(CP24,3)+COUNTIF(CV24,3)+COUNTIF(DB24,3)+COUNTIF(DH24,3)+COUNTIF(DN24,3)+COUNTIF(DT24,3)+COUNTIF(DZ24,3)+COUNTIF(EF24,3)+COUNTIF(EL24,3)+COUNTIF(ER24,3)+COUNTIF(EX24,3)+COUNTIF(FD24,3)+COUNTIF(FJ24,3)+COUNTIF(FP24,3)+COUNTIF(FV24,3)+COUNTIF(GB24,3)+COUNTIF(GH24,3)+COUNTIF(GN24,3)+COUNTIF(GT24,3)</f>
        <v/>
      </c>
      <c r="J24" s="49">
        <f>COUNTIF(P24,2)+COUNTIF(V24,2)+COUNTIF(AB24,2)+COUNTIF(AH24,2)+COUNTIF(AN24,2)+COUNTIF(AT24,2)+COUNTIF(AZ24,2)+COUNTIF(BF24,2)+COUNTIF(BL24,2)+COUNTIF(BR24,2)+COUNTIF(BX24,2)+COUNTIF(CD24,2)+COUNTIF(CJ24,2)+COUNTIF(CP24,2)+COUNTIF(CV24,2)+COUNTIF(DB24,2)+COUNTIF(DH24,2)+COUNTIF(DN24,2)+COUNTIF(DT24,2)+COUNTIF(DZ24,2)+COUNTIF(EF24,2)+COUNTIF(EL24,2)+COUNTIF(ER24,2)+COUNTIF(EX24,2)+COUNTIF(FD24,2)+COUNTIF(FJ24,2)+COUNTIF(FP24,2)+COUNTIF(FV24,2)+COUNTIF(GB24,2)+COUNTIF(GH24,2)+COUNTIF(GN24,2)+COUNTIF(GT24,2)</f>
        <v/>
      </c>
      <c r="K24" s="49">
        <f>COUNTIF(P24,1)+COUNTIF(V24,1)+COUNTIF(AB24,1)+COUNTIF(AH24,1)+COUNTIF(AN24,1)+COUNTIF(AT24,1)+COUNTIF(AZ24,1)+COUNTIF(BF24,1)+COUNTIF(BL24,1)+COUNTIF(BR24,1)+COUNTIF(BX24,1)+COUNTIF(CD24,1)+COUNTIF(CJ24,1)+COUNTIF(CP24,1)+COUNTIF(CV24,1)+COUNTIF(DB24,1)+COUNTIF(DH24,1)+COUNTIF(DN24,1)+COUNTIF(DT24,1)+COUNTIF(DZ24,1)+COUNTIF(EF24,1)+COUNTIF(EL24,1)+COUNTIF(ER24,1)+COUNTIF(EX24,1)+COUNTIF(FD24,1)+COUNTIF(FJ24,1)+COUNTIF(FP24,1)+COUNTIF(FV24,1)+COUNTIF(GB24,1)+COUNTIF(GH24,1)+COUNTIF(GN24,1)+COUNTIF(GT24,1)</f>
        <v/>
      </c>
      <c r="L24" s="5" t="n"/>
      <c r="M24" s="2" t="n"/>
      <c r="N24" s="58" t="inlineStr">
        <is>
          <t>:</t>
        </is>
      </c>
      <c r="O24" s="2" t="n"/>
      <c r="P24" s="17">
        <f>IF(ISBLANK($E24),"",(IF(ISBLANK(M24),0,IF((($E24=M24)*($G24=O24))*NOT(ISBLANK($E24)),1,0)+((($E24&gt;$G24)*(M24&gt;O24))+(($E24&lt;$G24)*(M24&lt;O24))+(($E24=$G24)*(M24=O24)))-ISBLANK($E24)*(M24=O24)+(($E24-$G24)=(M24-O24)))))</f>
        <v/>
      </c>
      <c r="Q24" s="35" t="n"/>
      <c r="R24" s="5" t="n"/>
      <c r="S24" s="2" t="n"/>
      <c r="T24" s="58" t="inlineStr">
        <is>
          <t>:</t>
        </is>
      </c>
      <c r="U24" s="2" t="n"/>
      <c r="V24" s="17">
        <f>IF(ISBLANK($E24),"",(IF(ISBLANK(S24),0,IF((($E24=S24)*($G24=U24))*NOT(ISBLANK($E24)),1,0)+((($E24&gt;$G24)*(S24&gt;U24))+(($E24&lt;$G24)*(S24&lt;U24))+(($E24=$G24)*(S24=U24)))-ISBLANK($E24)*(S24=U24)+(($E24-$G24)=(S24-U24)))))</f>
        <v/>
      </c>
      <c r="W24" s="37" t="n"/>
      <c r="X24" s="5" t="n"/>
      <c r="Y24" s="2" t="n"/>
      <c r="Z24" s="58" t="inlineStr">
        <is>
          <t>:</t>
        </is>
      </c>
      <c r="AA24" s="2" t="n"/>
      <c r="AB24" s="17">
        <f>IF(ISBLANK($E24),"",(IF(ISBLANK(Y24),0,IF((($E24=Y24)*($G24=AA24))*NOT(ISBLANK($E24)),1,0)+((($E24&gt;$G24)*(Y24&gt;AA24))+(($E24&lt;$G24)*(Y24&lt;AA24))+(($E24=$G24)*(Y24=AA24)))-ISBLANK($E24)*(Y24=AA24)+(($E24-$G24)=(Y24-AA24)))))</f>
        <v/>
      </c>
      <c r="AC24" s="37" t="n"/>
      <c r="AD24" s="5" t="n"/>
      <c r="AE24" s="2" t="n"/>
      <c r="AF24" s="58" t="inlineStr">
        <is>
          <t>:</t>
        </is>
      </c>
      <c r="AG24" s="2" t="n"/>
      <c r="AH24" s="17">
        <f>IF(ISBLANK($E24),"",(IF(ISBLANK(AE24),0,IF((($E24=AE24)*($G24=AG24))*NOT(ISBLANK($E24)),1,0)+((($E24&gt;$G24)*(AE24&gt;AG24))+(($E24&lt;$G24)*(AE24&lt;AG24))+(($E24=$G24)*(AE24=AG24)))-ISBLANK($E24)*(AE24=AG24)+(($E24-$G24)=(AE24-AG24)))))</f>
        <v/>
      </c>
      <c r="AI24" s="37" t="n"/>
      <c r="AJ24" s="5" t="n"/>
      <c r="AK24" s="2" t="n"/>
      <c r="AL24" s="58" t="inlineStr">
        <is>
          <t>:</t>
        </is>
      </c>
      <c r="AM24" s="2" t="n"/>
      <c r="AN24" s="17">
        <f>IF(ISBLANK($E24),"",(IF(ISBLANK(AK24),0,IF((($E24=AK24)*($G24=AM24))*NOT(ISBLANK($E24)),1,0)+((($E24&gt;$G24)*(AK24&gt;AM24))+(($E24&lt;$G24)*(AK24&lt;AM24))+(($E24=$G24)*(AK24=AM24)))-ISBLANK($E24)*(AK24=AM24)+(($E24-$G24)=(AK24-AM24)))))</f>
        <v/>
      </c>
      <c r="AO24" s="37" t="n"/>
      <c r="AP24" s="5" t="n"/>
      <c r="AQ24" s="2" t="n"/>
      <c r="AR24" s="58" t="inlineStr">
        <is>
          <t>:</t>
        </is>
      </c>
      <c r="AS24" s="2" t="n"/>
      <c r="AT24" s="17">
        <f>IF(ISBLANK($E24),"",(IF(ISBLANK(AQ24),0,IF((($E24=AQ24)*($G24=AS24))*NOT(ISBLANK($E24)),1,0)+((($E24&gt;$G24)*(AQ24&gt;AS24))+(($E24&lt;$G24)*(AQ24&lt;AS24))+(($E24=$G24)*(AQ24=AS24)))-ISBLANK($E24)*(AQ24=AS24)+(($E24-$G24)=(AQ24-AS24)))))</f>
        <v/>
      </c>
      <c r="AU24" s="37" t="n"/>
      <c r="AV24" s="5" t="n"/>
      <c r="AW24" s="2" t="n"/>
      <c r="AX24" s="58" t="inlineStr">
        <is>
          <t>:</t>
        </is>
      </c>
      <c r="AY24" s="2" t="n"/>
      <c r="AZ24" s="17">
        <f>IF(ISBLANK($E24),"",(IF(ISBLANK(AW24),0,IF((($E24=AW24)*($G24=AY24))*NOT(ISBLANK($E24)),1,0)+((($E24&gt;$G24)*(AW24&gt;AY24))+(($E24&lt;$G24)*(AW24&lt;AY24))+(($E24=$G24)*(AW24=AY24)))-ISBLANK($E24)*(AW24=AY24)+(($E24-$G24)=(AW24-AY24)))))</f>
        <v/>
      </c>
      <c r="BA24" s="37" t="n"/>
      <c r="BB24" s="5" t="n"/>
      <c r="BC24" s="2" t="n"/>
      <c r="BD24" s="58" t="inlineStr">
        <is>
          <t>:</t>
        </is>
      </c>
      <c r="BE24" s="2" t="n"/>
      <c r="BF24" s="17">
        <f>IF(ISBLANK($E24),"",(IF(ISBLANK(BC24),0,IF((($E24=BC24)*($G24=BE24))*NOT(ISBLANK($E24)),1,0)+((($E24&gt;$G24)*(BC24&gt;BE24))+(($E24&lt;$G24)*(BC24&lt;BE24))+(($E24=$G24)*(BC24=BE24)))-ISBLANK($E24)*(BC24=BE24)+(($E24-$G24)=(BC24-BE24)))))</f>
        <v/>
      </c>
      <c r="BG24" s="37" t="n"/>
      <c r="BH24" s="5" t="n"/>
      <c r="BI24" s="2" t="n"/>
      <c r="BJ24" s="58" t="inlineStr">
        <is>
          <t>:</t>
        </is>
      </c>
      <c r="BK24" s="2" t="n"/>
      <c r="BL24" s="17">
        <f>IF(ISBLANK($E24),"",(IF(ISBLANK(BI24),0,IF((($E24=BI24)*($G24=BK24))*NOT(ISBLANK($E24)),1,0)+((($E24&gt;$G24)*(BI24&gt;BK24))+(($E24&lt;$G24)*(BI24&lt;BK24))+(($E24=$G24)*(BI24=BK24)))-ISBLANK($E24)*(BI24=BK24)+(($E24-$G24)=(BI24-BK24)))))</f>
        <v/>
      </c>
      <c r="BM24" s="37" t="n"/>
      <c r="BN24" s="5" t="n"/>
      <c r="BO24" s="2" t="n"/>
      <c r="BP24" s="58" t="inlineStr">
        <is>
          <t>:</t>
        </is>
      </c>
      <c r="BQ24" s="2" t="n"/>
      <c r="BR24" s="17">
        <f>IF(ISBLANK($E24),"",(IF(ISBLANK(BO24),0,IF((($E24=BO24)*($G24=BQ24))*NOT(ISBLANK($E24)),1,0)+((($E24&gt;$G24)*(BO24&gt;BQ24))+(($E24&lt;$G24)*(BO24&lt;BQ24))+(($E24=$G24)*(BO24=BQ24)))-ISBLANK($E24)*(BO24=BQ24)+(($E24-$G24)=(BO24-BQ24)))))</f>
        <v/>
      </c>
      <c r="BS24" s="37" t="n"/>
      <c r="BT24" s="5" t="n"/>
      <c r="BU24" s="2" t="n"/>
      <c r="BV24" s="58" t="inlineStr">
        <is>
          <t>:</t>
        </is>
      </c>
      <c r="BW24" s="2" t="n"/>
      <c r="BX24" s="17">
        <f>IF(ISBLANK($E24),"",(IF(ISBLANK(BU24),0,IF((($E24=BU24)*($G24=BW24))*NOT(ISBLANK($E24)),1,0)+((($E24&gt;$G24)*(BU24&gt;BW24))+(($E24&lt;$G24)*(BU24&lt;BW24))+(($E24=$G24)*(BU24=BW24)))-ISBLANK($E24)*(BU24=BW24)+(($E24-$G24)=(BU24-BW24)))))</f>
        <v/>
      </c>
      <c r="BY24" s="37" t="n"/>
      <c r="BZ24" s="5" t="n"/>
      <c r="CA24" s="2" t="n"/>
      <c r="CB24" s="58" t="inlineStr">
        <is>
          <t>:</t>
        </is>
      </c>
      <c r="CC24" s="2" t="n"/>
      <c r="CD24" s="17">
        <f>IF(ISBLANK($E24),"",(IF(ISBLANK(CA24),0,IF((($E24=CA24)*($G24=CC24))*NOT(ISBLANK($E24)),1,0)+((($E24&gt;$G24)*(CA24&gt;CC24))+(($E24&lt;$G24)*(CA24&lt;CC24))+(($E24=$G24)*(CA24=CC24)))-ISBLANK($E24)*(CA24=CC24)+(($E24-$G24)=(CA24-CC24)))))</f>
        <v/>
      </c>
      <c r="CE24" s="37" t="n"/>
      <c r="CF24" s="5" t="n"/>
      <c r="CG24" s="2" t="n"/>
      <c r="CH24" s="58" t="inlineStr">
        <is>
          <t>:</t>
        </is>
      </c>
      <c r="CI24" s="2" t="n"/>
      <c r="CJ24" s="17">
        <f>IF(ISBLANK($E24),"",(IF(ISBLANK(CG24),0,IF((($E24=CG24)*($G24=CI24))*NOT(ISBLANK($E24)),1,0)+((($E24&gt;$G24)*(CG24&gt;CI24))+(($E24&lt;$G24)*(CG24&lt;CI24))+(($E24=$G24)*(CG24=CI24)))-ISBLANK($E24)*(CG24=CI24)+(($E24-$G24)=(CG24-CI24)))))</f>
        <v/>
      </c>
      <c r="CK24" s="37" t="n"/>
      <c r="CL24" s="5" t="n"/>
      <c r="CM24" s="2" t="n"/>
      <c r="CN24" s="58" t="inlineStr">
        <is>
          <t>:</t>
        </is>
      </c>
      <c r="CO24" s="2" t="n"/>
      <c r="CP24" s="17">
        <f>IF(ISBLANK($E24),"",(IF(ISBLANK(CM24),0,IF((($E24=CM24)*($G24=CO24))*NOT(ISBLANK($E24)),1,0)+((($E24&gt;$G24)*(CM24&gt;CO24))+(($E24&lt;$G24)*(CM24&lt;CO24))+(($E24=$G24)*(CM24=CO24)))-ISBLANK($E24)*(CM24=CO24)+(($E24-$G24)=(CM24-CO24)))))</f>
        <v/>
      </c>
      <c r="CQ24" s="37" t="n"/>
      <c r="CR24" s="5" t="n"/>
      <c r="CS24" s="2" t="n"/>
      <c r="CT24" s="58" t="inlineStr">
        <is>
          <t>:</t>
        </is>
      </c>
      <c r="CU24" s="2" t="n"/>
      <c r="CV24" s="17">
        <f>IF(ISBLANK($E24),"",(IF(ISBLANK(CS24),0,IF((($E24=CS24)*($G24=CU24))*NOT(ISBLANK($E24)),1,0)+((($E24&gt;$G24)*(CS24&gt;CU24))+(($E24&lt;$G24)*(CS24&lt;CU24))+(($E24=$G24)*(CS24=CU24)))-ISBLANK($E24)*(CS24=CU24)+(($E24-$G24)=(CS24-CU24)))))</f>
        <v/>
      </c>
      <c r="CW24" s="37" t="n"/>
      <c r="CX24" s="5" t="n"/>
      <c r="CY24" s="2" t="n"/>
      <c r="CZ24" s="58" t="inlineStr">
        <is>
          <t>:</t>
        </is>
      </c>
      <c r="DA24" s="2" t="n"/>
      <c r="DB24" s="17">
        <f>IF(ISBLANK($E24),"",(IF(ISBLANK(CY24),0,IF((($E24=CY24)*($G24=DA24))*NOT(ISBLANK($E24)),1,0)+((($E24&gt;$G24)*(CY24&gt;DA24))+(($E24&lt;$G24)*(CY24&lt;DA24))+(($E24=$G24)*(CY24=DA24)))-ISBLANK($E24)*(CY24=DA24)+(($E24-$G24)=(CY24-DA24)))))</f>
        <v/>
      </c>
      <c r="DC24" s="37" t="n"/>
      <c r="DD24" s="5" t="n"/>
      <c r="DE24" s="2" t="n"/>
      <c r="DF24" s="58" t="inlineStr">
        <is>
          <t>:</t>
        </is>
      </c>
      <c r="DG24" s="2" t="n"/>
      <c r="DH24" s="17">
        <f>IF(ISBLANK($E24),"",(IF(ISBLANK(DE24),0,IF((($E24=DE24)*($G24=DG24))*NOT(ISBLANK($E24)),1,0)+((($E24&gt;$G24)*(DE24&gt;DG24))+(($E24&lt;$G24)*(DE24&lt;DG24))+(($E24=$G24)*(DE24=DG24)))-ISBLANK($E24)*(DE24=DG24)+(($E24-$G24)=(DE24-DG24)))))</f>
        <v/>
      </c>
      <c r="DI24" s="37" t="n"/>
      <c r="DJ24" s="5" t="n"/>
      <c r="DK24" s="2" t="n"/>
      <c r="DL24" s="58" t="inlineStr">
        <is>
          <t>:</t>
        </is>
      </c>
      <c r="DM24" s="2" t="n"/>
      <c r="DN24" s="17">
        <f>IF(ISBLANK($E24),"",(IF(ISBLANK(DK24),0,IF((($E24=DK24)*($G24=DM24))*NOT(ISBLANK($E24)),1,0)+((($E24&gt;$G24)*(DK24&gt;DM24))+(($E24&lt;$G24)*(DK24&lt;DM24))+(($E24=$G24)*(DK24=DM24)))-ISBLANK($E24)*(DK24=DM24)+(($E24-$G24)=(DK24-DM24)))))</f>
        <v/>
      </c>
      <c r="DO24" s="37" t="n"/>
      <c r="DP24" s="5" t="n"/>
      <c r="DQ24" s="2" t="n"/>
      <c r="DR24" s="58" t="inlineStr">
        <is>
          <t>:</t>
        </is>
      </c>
      <c r="DS24" s="2" t="n"/>
      <c r="DT24" s="17">
        <f>IF(ISBLANK($E24),"",(IF(ISBLANK(DQ24),0,IF((($E24=DQ24)*($G24=DS24))*NOT(ISBLANK($E24)),1,0)+((($E24&gt;$G24)*(DQ24&gt;DS24))+(($E24&lt;$G24)*(DQ24&lt;DS24))+(($E24=$G24)*(DQ24=DS24)))-ISBLANK($E24)*(DQ24=DS24)+(($E24-$G24)=(DQ24-DS24)))))</f>
        <v/>
      </c>
      <c r="DU24" s="37" t="n"/>
      <c r="DV24" s="5" t="n"/>
      <c r="DW24" s="2" t="n"/>
      <c r="DX24" s="58" t="inlineStr">
        <is>
          <t>:</t>
        </is>
      </c>
      <c r="DY24" s="2" t="n"/>
      <c r="DZ24" s="17">
        <f>IF(ISBLANK($E24),"",(IF(ISBLANK(DW24),0,IF((($E24=DW24)*($G24=DY24))*NOT(ISBLANK($E24)),1,0)+((($E24&gt;$G24)*(DW24&gt;DY24))+(($E24&lt;$G24)*(DW24&lt;DY24))+(($E24=$G24)*(DW24=DY24)))-ISBLANK($E24)*(DW24=DY24)+(($E24-$G24)=(DW24-DY24)))))</f>
        <v/>
      </c>
      <c r="EA24" s="37" t="n"/>
      <c r="EB24" s="5" t="n"/>
      <c r="EC24" s="2" t="n"/>
      <c r="ED24" s="58" t="inlineStr">
        <is>
          <t>:</t>
        </is>
      </c>
      <c r="EE24" s="2" t="n"/>
      <c r="EF24" s="17">
        <f>IF(ISBLANK($E24),"",(IF(ISBLANK(EC24),0,IF((($E24=EC24)*($G24=EE24))*NOT(ISBLANK($E24)),1,0)+((($E24&gt;$G24)*(EC24&gt;EE24))+(($E24&lt;$G24)*(EC24&lt;EE24))+(($E24=$G24)*(EC24=EE24)))-ISBLANK($E24)*(EC24=EE24)+(($E24-$G24)=(EC24-EE24)))))</f>
        <v/>
      </c>
      <c r="EG24" s="37" t="n"/>
      <c r="EH24" s="5" t="n"/>
      <c r="EI24" s="2" t="n"/>
      <c r="EJ24" s="58" t="inlineStr">
        <is>
          <t>:</t>
        </is>
      </c>
      <c r="EK24" s="2" t="n"/>
      <c r="EL24" s="17">
        <f>IF(ISBLANK($E24),"",(IF(ISBLANK(EI24),0,IF((($E24=EI24)*($G24=EK24))*NOT(ISBLANK($E24)),1,0)+((($E24&gt;$G24)*(EI24&gt;EK24))+(($E24&lt;$G24)*(EI24&lt;EK24))+(($E24=$G24)*(EI24=EK24)))-ISBLANK($E24)*(EI24=EK24)+(($E24-$G24)=(EI24-EK24)))))</f>
        <v/>
      </c>
      <c r="EM24" s="37" t="n"/>
      <c r="EN24" s="5" t="n"/>
      <c r="EO24" s="2" t="n"/>
      <c r="EP24" s="58" t="inlineStr">
        <is>
          <t>:</t>
        </is>
      </c>
      <c r="EQ24" s="2" t="n"/>
      <c r="ER24" s="17">
        <f>IF(ISBLANK($E24),"",(IF(ISBLANK(EO24),0,IF((($E24=EO24)*($G24=EQ24))*NOT(ISBLANK($E24)),1,0)+((($E24&gt;$G24)*(EO24&gt;EQ24))+(($E24&lt;$G24)*(EO24&lt;EQ24))+(($E24=$G24)*(EO24=EQ24)))-ISBLANK($E24)*(EO24=EQ24)+(($E24-$G24)=(EO24-EQ24)))))</f>
        <v/>
      </c>
      <c r="ES24" s="37" t="n"/>
      <c r="ET24" s="5" t="n"/>
      <c r="EU24" s="2" t="n"/>
      <c r="EV24" s="58" t="inlineStr">
        <is>
          <t>:</t>
        </is>
      </c>
      <c r="EW24" s="2" t="n"/>
      <c r="EX24" s="17">
        <f>IF(ISBLANK($E24),"",(IF(ISBLANK(EU24),0,IF((($E24=EU24)*($G24=EW24))*NOT(ISBLANK($E24)),1,0)+((($E24&gt;$G24)*(EU24&gt;EW24))+(($E24&lt;$G24)*(EU24&lt;EW24))+(($E24=$G24)*(EU24=EW24)))-ISBLANK($E24)*(EU24=EW24)+(($E24-$G24)=(EU24-EW24)))))</f>
        <v/>
      </c>
      <c r="EY24" s="37" t="n"/>
      <c r="EZ24" s="5" t="n"/>
      <c r="FA24" s="2" t="n"/>
      <c r="FB24" s="58" t="inlineStr">
        <is>
          <t>:</t>
        </is>
      </c>
      <c r="FC24" s="2" t="n"/>
      <c r="FD24" s="17">
        <f>IF(ISBLANK($E24),"",(IF(ISBLANK(FA24),0,IF((($E24=FA24)*($G24=FC24))*NOT(ISBLANK($E24)),1,0)+((($E24&gt;$G24)*(FA24&gt;FC24))+(($E24&lt;$G24)*(FA24&lt;FC24))+(($E24=$G24)*(FA24=FC24)))-ISBLANK($E24)*(FA24=FC24)+(($E24-$G24)=(FA24-FC24)))))</f>
        <v/>
      </c>
      <c r="FE24" s="37" t="n"/>
      <c r="FF24" s="5" t="n"/>
      <c r="FG24" s="2" t="n"/>
      <c r="FH24" s="58" t="n"/>
      <c r="FI24" s="2" t="n"/>
      <c r="FJ24" s="17">
        <f>IF(ISBLANK($E24),"",(IF(ISBLANK(FG24),0,IF((($E24=FG24)*($G24=FI24))*NOT(ISBLANK($E24)),1,0)+((($E24&gt;$G24)*(FG24&gt;FI24))+(($E24&lt;$G24)*(FG24&lt;FI24))+(($E24=$G24)*(FG24=FI24)))-ISBLANK($E24)*(FG24=FI24)+(($E24-$G24)=(FG24-FI24)))))</f>
        <v/>
      </c>
      <c r="FK24" s="37" t="n"/>
      <c r="FL24" s="5" t="n"/>
      <c r="FM24" s="2" t="n"/>
      <c r="FN24" s="58" t="inlineStr">
        <is>
          <t>:</t>
        </is>
      </c>
      <c r="FO24" s="2" t="n"/>
      <c r="FP24" s="17">
        <f>IF(ISBLANK($E24),"",(IF(ISBLANK(FM24),0,IF((($E24=FM24)*($G24=FO24))*NOT(ISBLANK($E24)),1,0)+((($E24&gt;$G24)*(FM24&gt;FO24))+(($E24&lt;$G24)*(FM24&lt;FO24))+(($E24=$G24)*(FM24=FO24)))-ISBLANK($E24)*(FM24=FO24)+(($E24-$G24)=(FM24-FO24)))))</f>
        <v/>
      </c>
      <c r="FQ24" s="37" t="n"/>
      <c r="FR24" s="5" t="n"/>
      <c r="FS24" s="2" t="n"/>
      <c r="FT24" s="58" t="inlineStr">
        <is>
          <t>:</t>
        </is>
      </c>
      <c r="FU24" s="2" t="n"/>
      <c r="FV24" s="17">
        <f>IF(ISBLANK($E24),"",(IF(ISBLANK(FS24),0,IF((($E24=FS24)*($G24=FU24))*NOT(ISBLANK($E24)),1,0)+((($E24&gt;$G24)*(FS24&gt;FU24))+(($E24&lt;$G24)*(FS24&lt;FU24))+(($E24=$G24)*(FS24=FU24)))-ISBLANK($E24)*(FS24=FU24)+(($E24-$G24)=(FS24-FU24)))))</f>
        <v/>
      </c>
      <c r="FW24" s="37" t="n"/>
      <c r="FX24" s="5" t="n"/>
      <c r="FY24" s="2" t="n"/>
      <c r="FZ24" s="58" t="inlineStr">
        <is>
          <t>:</t>
        </is>
      </c>
      <c r="GA24" s="2" t="n"/>
      <c r="GB24" s="17">
        <f>IF(ISBLANK($E24),"",(IF(ISBLANK(FY24),0,IF((($E24=FY24)*($G24=GA24))*NOT(ISBLANK($E24)),1,0)+((($E24&gt;$G24)*(FY24&gt;GA24))+(($E24&lt;$G24)*(FY24&lt;GA24))+(($E24=$G24)*(FY24=GA24)))-ISBLANK($E24)*(FY24=GA24)+(($E24-$G24)=(FY24-GA24)))))</f>
        <v/>
      </c>
      <c r="GC24" s="37" t="n"/>
      <c r="GD24" s="5" t="n"/>
      <c r="GE24" s="2" t="n"/>
      <c r="GF24" s="58" t="inlineStr">
        <is>
          <t>:</t>
        </is>
      </c>
      <c r="GG24" s="2" t="n"/>
      <c r="GH24" s="17">
        <f>IF(ISBLANK($E24),"",(IF(ISBLANK(GE24),0,IF((($E24=GE24)*($G24=GG24))*NOT(ISBLANK($E24)),1,0)+((($E24&gt;$G24)*(GE24&gt;GG24))+(($E24&lt;$G24)*(GE24&lt;GG24))+(($E24=$G24)*(GE24=GG24)))-ISBLANK($E24)*(GE24=GG24)+(($E24-$G24)=(GE24-GG24)))))</f>
        <v/>
      </c>
      <c r="GI24" s="37" t="n"/>
      <c r="GJ24" s="5" t="n"/>
      <c r="GK24" s="2" t="n"/>
      <c r="GL24" s="58" t="inlineStr">
        <is>
          <t>:</t>
        </is>
      </c>
      <c r="GM24" s="2" t="n"/>
      <c r="GN24" s="17">
        <f>IF(ISBLANK($E24),"",(IF(ISBLANK(GK24),0,IF((($E24=GK24)*($G24=GM24))*NOT(ISBLANK($E24)),1,0)+((($E24&gt;$G24)*(GK24&gt;GM24))+(($E24&lt;$G24)*(GK24&lt;GM24))+(($E24=$G24)*(GK24=GM24)))-ISBLANK($E24)*(GK24=GM24)+(($E24-$G24)=(GK24-GM24)))))</f>
        <v/>
      </c>
      <c r="GO24" s="37" t="n"/>
      <c r="GP24" s="5" t="n"/>
      <c r="GQ24" s="2" t="n"/>
      <c r="GR24" s="58" t="inlineStr">
        <is>
          <t>:</t>
        </is>
      </c>
      <c r="GS24" s="2" t="n"/>
      <c r="GT24" s="17">
        <f>IF(ISBLANK($E24),"",(IF(ISBLANK(GQ24),0,IF((($E24=GQ24)*($G24=GS24))*NOT(ISBLANK($E24)),1,0)+((($E24&gt;$G24)*(GQ24&gt;GS24))+(($E24&lt;$G24)*(GQ24&lt;GS24))+(($E24=$G24)*(GQ24=GS24)))-ISBLANK($E24)*(GQ24=GS24)+(($E24-$G24)=(GQ24-GS24)))))</f>
        <v/>
      </c>
      <c r="GU24" s="37" t="n"/>
      <c r="GV24" s="5" t="n"/>
    </row>
    <row r="25" ht="18" customHeight="1">
      <c r="A25" s="62" t="n"/>
      <c r="B25" s="70" t="n"/>
      <c r="C25" s="78" t="inlineStr">
        <is>
          <t>:</t>
        </is>
      </c>
      <c r="D25" s="70" t="n"/>
      <c r="E25" s="54" t="n"/>
      <c r="F25" s="55" t="inlineStr">
        <is>
          <t>:</t>
        </is>
      </c>
      <c r="G25" s="55" t="n"/>
      <c r="I25" s="49">
        <f>COUNTIF(P25,3)+COUNTIF(V25,3)+COUNTIF(AB25,3)+COUNTIF(AH25,3)+COUNTIF(AN25,3)+COUNTIF(AT25,3)+COUNTIF(AZ25,3)+COUNTIF(BF25,3)+COUNTIF(BL25,3)+COUNTIF(BR25,3)+COUNTIF(BX25,3)+COUNTIF(CD25,3)+COUNTIF(CJ25,3)+COUNTIF(CP25,3)+COUNTIF(CV25,3)+COUNTIF(DB25,3)+COUNTIF(DH25,3)+COUNTIF(DN25,3)+COUNTIF(DT25,3)+COUNTIF(DZ25,3)+COUNTIF(EF25,3)+COUNTIF(EL25,3)+COUNTIF(ER25,3)+COUNTIF(EX25,3)+COUNTIF(FD25,3)+COUNTIF(FJ25,3)+COUNTIF(FP25,3)+COUNTIF(FV25,3)+COUNTIF(GB25,3)+COUNTIF(GH25,3)+COUNTIF(GN25,3)+COUNTIF(GT25,3)</f>
        <v/>
      </c>
      <c r="J25" s="49">
        <f>COUNTIF(P25,2)+COUNTIF(V25,2)+COUNTIF(AB25,2)+COUNTIF(AH25,2)+COUNTIF(AN25,2)+COUNTIF(AT25,2)+COUNTIF(AZ25,2)+COUNTIF(BF25,2)+COUNTIF(BL25,2)+COUNTIF(BR25,2)+COUNTIF(BX25,2)+COUNTIF(CD25,2)+COUNTIF(CJ25,2)+COUNTIF(CP25,2)+COUNTIF(CV25,2)+COUNTIF(DB25,2)+COUNTIF(DH25,2)+COUNTIF(DN25,2)+COUNTIF(DT25,2)+COUNTIF(DZ25,2)+COUNTIF(EF25,2)+COUNTIF(EL25,2)+COUNTIF(ER25,2)+COUNTIF(EX25,2)+COUNTIF(FD25,2)+COUNTIF(FJ25,2)+COUNTIF(FP25,2)+COUNTIF(FV25,2)+COUNTIF(GB25,2)+COUNTIF(GH25,2)+COUNTIF(GN25,2)+COUNTIF(GT25,2)</f>
        <v/>
      </c>
      <c r="K25" s="49">
        <f>COUNTIF(P25,1)+COUNTIF(V25,1)+COUNTIF(AB25,1)+COUNTIF(AH25,1)+COUNTIF(AN25,1)+COUNTIF(AT25,1)+COUNTIF(AZ25,1)+COUNTIF(BF25,1)+COUNTIF(BL25,1)+COUNTIF(BR25,1)+COUNTIF(BX25,1)+COUNTIF(CD25,1)+COUNTIF(CJ25,1)+COUNTIF(CP25,1)+COUNTIF(CV25,1)+COUNTIF(DB25,1)+COUNTIF(DH25,1)+COUNTIF(DN25,1)+COUNTIF(DT25,1)+COUNTIF(DZ25,1)+COUNTIF(EF25,1)+COUNTIF(EL25,1)+COUNTIF(ER25,1)+COUNTIF(EX25,1)+COUNTIF(FD25,1)+COUNTIF(FJ25,1)+COUNTIF(FP25,1)+COUNTIF(FV25,1)+COUNTIF(GB25,1)+COUNTIF(GH25,1)+COUNTIF(GN25,1)+COUNTIF(GT25,1)</f>
        <v/>
      </c>
      <c r="L25" s="5" t="n"/>
      <c r="M25" s="2" t="n"/>
      <c r="N25" s="58" t="inlineStr">
        <is>
          <t>:</t>
        </is>
      </c>
      <c r="O25" s="2" t="n"/>
      <c r="P25" s="17">
        <f>IF(ISBLANK($E25),"",(IF(ISBLANK(M25),0,IF((($E25=M25)*($G25=O25))*NOT(ISBLANK($E25)),1,0)+((($E25&gt;$G25)*(M25&gt;O25))+(($E25&lt;$G25)*(M25&lt;O25))+(($E25=$G25)*(M25=O25)))-ISBLANK($E25)*(M25=O25)+(($E25-$G25)=(M25-O25)))))</f>
        <v/>
      </c>
      <c r="Q25" s="35" t="n"/>
      <c r="R25" s="5" t="n"/>
      <c r="S25" s="2" t="n"/>
      <c r="T25" s="58" t="inlineStr">
        <is>
          <t>:</t>
        </is>
      </c>
      <c r="U25" s="2" t="n"/>
      <c r="V25" s="17">
        <f>IF(ISBLANK($E25),"",(IF(ISBLANK(S25),0,IF((($E25=S25)*($G25=U25))*NOT(ISBLANK($E25)),1,0)+((($E25&gt;$G25)*(S25&gt;U25))+(($E25&lt;$G25)*(S25&lt;U25))+(($E25=$G25)*(S25=U25)))-ISBLANK($E25)*(S25=U25)+(($E25-$G25)=(S25-U25)))))</f>
        <v/>
      </c>
      <c r="W25" s="37" t="n"/>
      <c r="X25" s="5" t="n"/>
      <c r="Y25" s="2" t="n"/>
      <c r="Z25" s="58" t="inlineStr">
        <is>
          <t>:</t>
        </is>
      </c>
      <c r="AA25" s="2" t="n"/>
      <c r="AB25" s="17">
        <f>IF(ISBLANK($E25),"",(IF(ISBLANK(Y25),0,IF((($E25=Y25)*($G25=AA25))*NOT(ISBLANK($E25)),1,0)+((($E25&gt;$G25)*(Y25&gt;AA25))+(($E25&lt;$G25)*(Y25&lt;AA25))+(($E25=$G25)*(Y25=AA25)))-ISBLANK($E25)*(Y25=AA25)+(($E25-$G25)=(Y25-AA25)))))</f>
        <v/>
      </c>
      <c r="AC25" s="37" t="n"/>
      <c r="AD25" s="5" t="n"/>
      <c r="AE25" s="2" t="n"/>
      <c r="AF25" s="58" t="inlineStr">
        <is>
          <t>:</t>
        </is>
      </c>
      <c r="AG25" s="2" t="n"/>
      <c r="AH25" s="17">
        <f>IF(ISBLANK($E25),"",(IF(ISBLANK(AE25),0,IF((($E25=AE25)*($G25=AG25))*NOT(ISBLANK($E25)),1,0)+((($E25&gt;$G25)*(AE25&gt;AG25))+(($E25&lt;$G25)*(AE25&lt;AG25))+(($E25=$G25)*(AE25=AG25)))-ISBLANK($E25)*(AE25=AG25)+(($E25-$G25)=(AE25-AG25)))))</f>
        <v/>
      </c>
      <c r="AI25" s="37" t="n"/>
      <c r="AJ25" s="5" t="n"/>
      <c r="AK25" s="2" t="n"/>
      <c r="AL25" s="58" t="inlineStr">
        <is>
          <t>:</t>
        </is>
      </c>
      <c r="AM25" s="2" t="n"/>
      <c r="AN25" s="17">
        <f>IF(ISBLANK($E25),"",(IF(ISBLANK(AK25),0,IF((($E25=AK25)*($G25=AM25))*NOT(ISBLANK($E25)),1,0)+((($E25&gt;$G25)*(AK25&gt;AM25))+(($E25&lt;$G25)*(AK25&lt;AM25))+(($E25=$G25)*(AK25=AM25)))-ISBLANK($E25)*(AK25=AM25)+(($E25-$G25)=(AK25-AM25)))))</f>
        <v/>
      </c>
      <c r="AO25" s="37" t="n"/>
      <c r="AP25" s="5" t="n"/>
      <c r="AQ25" s="2" t="n"/>
      <c r="AR25" s="58" t="inlineStr">
        <is>
          <t>:</t>
        </is>
      </c>
      <c r="AS25" s="2" t="n"/>
      <c r="AT25" s="17">
        <f>IF(ISBLANK($E25),"",(IF(ISBLANK(AQ25),0,IF((($E25=AQ25)*($G25=AS25))*NOT(ISBLANK($E25)),1,0)+((($E25&gt;$G25)*(AQ25&gt;AS25))+(($E25&lt;$G25)*(AQ25&lt;AS25))+(($E25=$G25)*(AQ25=AS25)))-ISBLANK($E25)*(AQ25=AS25)+(($E25-$G25)=(AQ25-AS25)))))</f>
        <v/>
      </c>
      <c r="AU25" s="37" t="n"/>
      <c r="AV25" s="5" t="n"/>
      <c r="AW25" s="2" t="n"/>
      <c r="AX25" s="58" t="inlineStr">
        <is>
          <t>:</t>
        </is>
      </c>
      <c r="AY25" s="2" t="n"/>
      <c r="AZ25" s="17">
        <f>IF(ISBLANK($E25),"",(IF(ISBLANK(AW25),0,IF((($E25=AW25)*($G25=AY25))*NOT(ISBLANK($E25)),1,0)+((($E25&gt;$G25)*(AW25&gt;AY25))+(($E25&lt;$G25)*(AW25&lt;AY25))+(($E25=$G25)*(AW25=AY25)))-ISBLANK($E25)*(AW25=AY25)+(($E25-$G25)=(AW25-AY25)))))</f>
        <v/>
      </c>
      <c r="BA25" s="37" t="n"/>
      <c r="BB25" s="5" t="n"/>
      <c r="BC25" s="2" t="n"/>
      <c r="BD25" s="58" t="inlineStr">
        <is>
          <t>:</t>
        </is>
      </c>
      <c r="BE25" s="2" t="n"/>
      <c r="BF25" s="17">
        <f>IF(ISBLANK($E25),"",(IF(ISBLANK(BC25),0,IF((($E25=BC25)*($G25=BE25))*NOT(ISBLANK($E25)),1,0)+((($E25&gt;$G25)*(BC25&gt;BE25))+(($E25&lt;$G25)*(BC25&lt;BE25))+(($E25=$G25)*(BC25=BE25)))-ISBLANK($E25)*(BC25=BE25)+(($E25-$G25)=(BC25-BE25)))))</f>
        <v/>
      </c>
      <c r="BG25" s="37" t="n"/>
      <c r="BH25" s="5" t="n"/>
      <c r="BI25" s="2" t="n"/>
      <c r="BJ25" s="58" t="inlineStr">
        <is>
          <t>:</t>
        </is>
      </c>
      <c r="BK25" s="2" t="n"/>
      <c r="BL25" s="17">
        <f>IF(ISBLANK($E25),"",(IF(ISBLANK(BI25),0,IF((($E25=BI25)*($G25=BK25))*NOT(ISBLANK($E25)),1,0)+((($E25&gt;$G25)*(BI25&gt;BK25))+(($E25&lt;$G25)*(BI25&lt;BK25))+(($E25=$G25)*(BI25=BK25)))-ISBLANK($E25)*(BI25=BK25)+(($E25-$G25)=(BI25-BK25)))))</f>
        <v/>
      </c>
      <c r="BM25" s="37" t="n"/>
      <c r="BN25" s="5" t="n"/>
      <c r="BO25" s="2" t="n"/>
      <c r="BP25" s="58" t="inlineStr">
        <is>
          <t>:</t>
        </is>
      </c>
      <c r="BQ25" s="2" t="n"/>
      <c r="BR25" s="17">
        <f>IF(ISBLANK($E25),"",(IF(ISBLANK(BO25),0,IF((($E25=BO25)*($G25=BQ25))*NOT(ISBLANK($E25)),1,0)+((($E25&gt;$G25)*(BO25&gt;BQ25))+(($E25&lt;$G25)*(BO25&lt;BQ25))+(($E25=$G25)*(BO25=BQ25)))-ISBLANK($E25)*(BO25=BQ25)+(($E25-$G25)=(BO25-BQ25)))))</f>
        <v/>
      </c>
      <c r="BS25" s="37" t="n"/>
      <c r="BT25" s="5" t="n"/>
      <c r="BU25" s="2" t="n"/>
      <c r="BV25" s="58" t="inlineStr">
        <is>
          <t>:</t>
        </is>
      </c>
      <c r="BW25" s="2" t="n"/>
      <c r="BX25" s="17">
        <f>IF(ISBLANK($E25),"",(IF(ISBLANK(BU25),0,IF((($E25=BU25)*($G25=BW25))*NOT(ISBLANK($E25)),1,0)+((($E25&gt;$G25)*(BU25&gt;BW25))+(($E25&lt;$G25)*(BU25&lt;BW25))+(($E25=$G25)*(BU25=BW25)))-ISBLANK($E25)*(BU25=BW25)+(($E25-$G25)=(BU25-BW25)))))</f>
        <v/>
      </c>
      <c r="BY25" s="37" t="n"/>
      <c r="BZ25" s="5" t="n"/>
      <c r="CA25" s="2" t="n"/>
      <c r="CB25" s="58" t="inlineStr">
        <is>
          <t>:</t>
        </is>
      </c>
      <c r="CC25" s="2" t="n"/>
      <c r="CD25" s="17">
        <f>IF(ISBLANK($E25),"",(IF(ISBLANK(CA25),0,IF((($E25=CA25)*($G25=CC25))*NOT(ISBLANK($E25)),1,0)+((($E25&gt;$G25)*(CA25&gt;CC25))+(($E25&lt;$G25)*(CA25&lt;CC25))+(($E25=$G25)*(CA25=CC25)))-ISBLANK($E25)*(CA25=CC25)+(($E25-$G25)=(CA25-CC25)))))</f>
        <v/>
      </c>
      <c r="CE25" s="37" t="n"/>
      <c r="CF25" s="5" t="n"/>
      <c r="CG25" s="2" t="n"/>
      <c r="CH25" s="58" t="inlineStr">
        <is>
          <t>:</t>
        </is>
      </c>
      <c r="CI25" s="2" t="n"/>
      <c r="CJ25" s="17">
        <f>IF(ISBLANK($E25),"",(IF(ISBLANK(CG25),0,IF((($E25=CG25)*($G25=CI25))*NOT(ISBLANK($E25)),1,0)+((($E25&gt;$G25)*(CG25&gt;CI25))+(($E25&lt;$G25)*(CG25&lt;CI25))+(($E25=$G25)*(CG25=CI25)))-ISBLANK($E25)*(CG25=CI25)+(($E25-$G25)=(CG25-CI25)))))</f>
        <v/>
      </c>
      <c r="CK25" s="37" t="n"/>
      <c r="CL25" s="5" t="n"/>
      <c r="CM25" s="2" t="n"/>
      <c r="CN25" s="58" t="inlineStr">
        <is>
          <t>:</t>
        </is>
      </c>
      <c r="CO25" s="2" t="n"/>
      <c r="CP25" s="17">
        <f>IF(ISBLANK($E25),"",(IF(ISBLANK(CM25),0,IF((($E25=CM25)*($G25=CO25))*NOT(ISBLANK($E25)),1,0)+((($E25&gt;$G25)*(CM25&gt;CO25))+(($E25&lt;$G25)*(CM25&lt;CO25))+(($E25=$G25)*(CM25=CO25)))-ISBLANK($E25)*(CM25=CO25)+(($E25-$G25)=(CM25-CO25)))))</f>
        <v/>
      </c>
      <c r="CQ25" s="37" t="n"/>
      <c r="CR25" s="5" t="n"/>
      <c r="CS25" s="2" t="n"/>
      <c r="CT25" s="58" t="inlineStr">
        <is>
          <t>:</t>
        </is>
      </c>
      <c r="CU25" s="2" t="n"/>
      <c r="CV25" s="17">
        <f>IF(ISBLANK($E25),"",(IF(ISBLANK(CS25),0,IF((($E25=CS25)*($G25=CU25))*NOT(ISBLANK($E25)),1,0)+((($E25&gt;$G25)*(CS25&gt;CU25))+(($E25&lt;$G25)*(CS25&lt;CU25))+(($E25=$G25)*(CS25=CU25)))-ISBLANK($E25)*(CS25=CU25)+(($E25-$G25)=(CS25-CU25)))))</f>
        <v/>
      </c>
      <c r="CW25" s="37" t="n"/>
      <c r="CX25" s="5" t="n"/>
      <c r="CY25" s="2" t="n"/>
      <c r="CZ25" s="58" t="inlineStr">
        <is>
          <t>:</t>
        </is>
      </c>
      <c r="DA25" s="2" t="n"/>
      <c r="DB25" s="17">
        <f>IF(ISBLANK($E25),"",(IF(ISBLANK(CY25),0,IF((($E25=CY25)*($G25=DA25))*NOT(ISBLANK($E25)),1,0)+((($E25&gt;$G25)*(CY25&gt;DA25))+(($E25&lt;$G25)*(CY25&lt;DA25))+(($E25=$G25)*(CY25=DA25)))-ISBLANK($E25)*(CY25=DA25)+(($E25-$G25)=(CY25-DA25)))))</f>
        <v/>
      </c>
      <c r="DC25" s="37" t="n"/>
      <c r="DD25" s="5" t="n"/>
      <c r="DE25" s="2" t="n"/>
      <c r="DF25" s="58" t="inlineStr">
        <is>
          <t>:</t>
        </is>
      </c>
      <c r="DG25" s="2" t="n"/>
      <c r="DH25" s="17">
        <f>IF(ISBLANK($E25),"",(IF(ISBLANK(DE25),0,IF((($E25=DE25)*($G25=DG25))*NOT(ISBLANK($E25)),1,0)+((($E25&gt;$G25)*(DE25&gt;DG25))+(($E25&lt;$G25)*(DE25&lt;DG25))+(($E25=$G25)*(DE25=DG25)))-ISBLANK($E25)*(DE25=DG25)+(($E25-$G25)=(DE25-DG25)))))</f>
        <v/>
      </c>
      <c r="DI25" s="37" t="n"/>
      <c r="DJ25" s="5" t="n"/>
      <c r="DK25" s="2" t="n"/>
      <c r="DL25" s="58" t="inlineStr">
        <is>
          <t>:</t>
        </is>
      </c>
      <c r="DM25" s="2" t="n"/>
      <c r="DN25" s="17">
        <f>IF(ISBLANK($E25),"",(IF(ISBLANK(DK25),0,IF((($E25=DK25)*($G25=DM25))*NOT(ISBLANK($E25)),1,0)+((($E25&gt;$G25)*(DK25&gt;DM25))+(($E25&lt;$G25)*(DK25&lt;DM25))+(($E25=$G25)*(DK25=DM25)))-ISBLANK($E25)*(DK25=DM25)+(($E25-$G25)=(DK25-DM25)))))</f>
        <v/>
      </c>
      <c r="DO25" s="37" t="n"/>
      <c r="DP25" s="5" t="n"/>
      <c r="DQ25" s="2" t="n"/>
      <c r="DR25" s="58" t="inlineStr">
        <is>
          <t>:</t>
        </is>
      </c>
      <c r="DS25" s="2" t="n"/>
      <c r="DT25" s="17">
        <f>IF(ISBLANK($E25),"",(IF(ISBLANK(DQ25),0,IF((($E25=DQ25)*($G25=DS25))*NOT(ISBLANK($E25)),1,0)+((($E25&gt;$G25)*(DQ25&gt;DS25))+(($E25&lt;$G25)*(DQ25&lt;DS25))+(($E25=$G25)*(DQ25=DS25)))-ISBLANK($E25)*(DQ25=DS25)+(($E25-$G25)=(DQ25-DS25)))))</f>
        <v/>
      </c>
      <c r="DU25" s="37" t="n"/>
      <c r="DV25" s="5" t="n"/>
      <c r="DW25" s="2" t="n"/>
      <c r="DX25" s="58" t="inlineStr">
        <is>
          <t>:</t>
        </is>
      </c>
      <c r="DY25" s="2" t="n"/>
      <c r="DZ25" s="17">
        <f>IF(ISBLANK($E25),"",(IF(ISBLANK(DW25),0,IF((($E25=DW25)*($G25=DY25))*NOT(ISBLANK($E25)),1,0)+((($E25&gt;$G25)*(DW25&gt;DY25))+(($E25&lt;$G25)*(DW25&lt;DY25))+(($E25=$G25)*(DW25=DY25)))-ISBLANK($E25)*(DW25=DY25)+(($E25-$G25)=(DW25-DY25)))))</f>
        <v/>
      </c>
      <c r="EA25" s="37" t="n"/>
      <c r="EB25" s="5" t="n"/>
      <c r="EC25" s="2" t="n"/>
      <c r="ED25" s="58" t="inlineStr">
        <is>
          <t>:</t>
        </is>
      </c>
      <c r="EE25" s="2" t="n"/>
      <c r="EF25" s="17">
        <f>IF(ISBLANK($E25),"",(IF(ISBLANK(EC25),0,IF((($E25=EC25)*($G25=EE25))*NOT(ISBLANK($E25)),1,0)+((($E25&gt;$G25)*(EC25&gt;EE25))+(($E25&lt;$G25)*(EC25&lt;EE25))+(($E25=$G25)*(EC25=EE25)))-ISBLANK($E25)*(EC25=EE25)+(($E25-$G25)=(EC25-EE25)))))</f>
        <v/>
      </c>
      <c r="EG25" s="37" t="n"/>
      <c r="EH25" s="5" t="n"/>
      <c r="EI25" s="2" t="n"/>
      <c r="EJ25" s="58" t="inlineStr">
        <is>
          <t>:</t>
        </is>
      </c>
      <c r="EK25" s="2" t="n"/>
      <c r="EL25" s="17">
        <f>IF(ISBLANK($E25),"",(IF(ISBLANK(EI25),0,IF((($E25=EI25)*($G25=EK25))*NOT(ISBLANK($E25)),1,0)+((($E25&gt;$G25)*(EI25&gt;EK25))+(($E25&lt;$G25)*(EI25&lt;EK25))+(($E25=$G25)*(EI25=EK25)))-ISBLANK($E25)*(EI25=EK25)+(($E25-$G25)=(EI25-EK25)))))</f>
        <v/>
      </c>
      <c r="EM25" s="37" t="n"/>
      <c r="EN25" s="5" t="n"/>
      <c r="EO25" s="2" t="n"/>
      <c r="EP25" s="58" t="inlineStr">
        <is>
          <t>:</t>
        </is>
      </c>
      <c r="EQ25" s="2" t="n"/>
      <c r="ER25" s="17">
        <f>IF(ISBLANK($E25),"",(IF(ISBLANK(EO25),0,IF((($E25=EO25)*($G25=EQ25))*NOT(ISBLANK($E25)),1,0)+((($E25&gt;$G25)*(EO25&gt;EQ25))+(($E25&lt;$G25)*(EO25&lt;EQ25))+(($E25=$G25)*(EO25=EQ25)))-ISBLANK($E25)*(EO25=EQ25)+(($E25-$G25)=(EO25-EQ25)))))</f>
        <v/>
      </c>
      <c r="ES25" s="37" t="n"/>
      <c r="ET25" s="5" t="n"/>
      <c r="EU25" s="2" t="n"/>
      <c r="EV25" s="58" t="inlineStr">
        <is>
          <t>:</t>
        </is>
      </c>
      <c r="EW25" s="2" t="n"/>
      <c r="EX25" s="17">
        <f>IF(ISBLANK($E25),"",(IF(ISBLANK(EU25),0,IF((($E25=EU25)*($G25=EW25))*NOT(ISBLANK($E25)),1,0)+((($E25&gt;$G25)*(EU25&gt;EW25))+(($E25&lt;$G25)*(EU25&lt;EW25))+(($E25=$G25)*(EU25=EW25)))-ISBLANK($E25)*(EU25=EW25)+(($E25-$G25)=(EU25-EW25)))))</f>
        <v/>
      </c>
      <c r="EY25" s="37" t="n"/>
      <c r="EZ25" s="5" t="n"/>
      <c r="FA25" s="2" t="n"/>
      <c r="FB25" s="58" t="inlineStr">
        <is>
          <t>:</t>
        </is>
      </c>
      <c r="FC25" s="2" t="n"/>
      <c r="FD25" s="17">
        <f>IF(ISBLANK($E25),"",(IF(ISBLANK(FA25),0,IF((($E25=FA25)*($G25=FC25))*NOT(ISBLANK($E25)),1,0)+((($E25&gt;$G25)*(FA25&gt;FC25))+(($E25&lt;$G25)*(FA25&lt;FC25))+(($E25=$G25)*(FA25=FC25)))-ISBLANK($E25)*(FA25=FC25)+(($E25-$G25)=(FA25-FC25)))))</f>
        <v/>
      </c>
      <c r="FE25" s="37" t="n"/>
      <c r="FF25" s="5" t="n"/>
      <c r="FG25" s="2" t="n"/>
      <c r="FH25" s="58" t="n"/>
      <c r="FI25" s="2" t="n"/>
      <c r="FJ25" s="17">
        <f>IF(ISBLANK($E25),"",(IF(ISBLANK(FG25),0,IF((($E25=FG25)*($G25=FI25))*NOT(ISBLANK($E25)),1,0)+((($E25&gt;$G25)*(FG25&gt;FI25))+(($E25&lt;$G25)*(FG25&lt;FI25))+(($E25=$G25)*(FG25=FI25)))-ISBLANK($E25)*(FG25=FI25)+(($E25-$G25)=(FG25-FI25)))))</f>
        <v/>
      </c>
      <c r="FK25" s="37" t="n"/>
      <c r="FL25" s="5" t="n"/>
      <c r="FM25" s="2" t="n"/>
      <c r="FN25" s="58" t="inlineStr">
        <is>
          <t>:</t>
        </is>
      </c>
      <c r="FO25" s="2" t="n"/>
      <c r="FP25" s="17">
        <f>IF(ISBLANK($E25),"",(IF(ISBLANK(FM25),0,IF((($E25=FM25)*($G25=FO25))*NOT(ISBLANK($E25)),1,0)+((($E25&gt;$G25)*(FM25&gt;FO25))+(($E25&lt;$G25)*(FM25&lt;FO25))+(($E25=$G25)*(FM25=FO25)))-ISBLANK($E25)*(FM25=FO25)+(($E25-$G25)=(FM25-FO25)))))</f>
        <v/>
      </c>
      <c r="FQ25" s="37" t="n"/>
      <c r="FR25" s="5" t="n"/>
      <c r="FS25" s="2" t="n"/>
      <c r="FT25" s="58" t="inlineStr">
        <is>
          <t>:</t>
        </is>
      </c>
      <c r="FU25" s="2" t="n"/>
      <c r="FV25" s="17">
        <f>IF(ISBLANK($E25),"",(IF(ISBLANK(FS25),0,IF((($E25=FS25)*($G25=FU25))*NOT(ISBLANK($E25)),1,0)+((($E25&gt;$G25)*(FS25&gt;FU25))+(($E25&lt;$G25)*(FS25&lt;FU25))+(($E25=$G25)*(FS25=FU25)))-ISBLANK($E25)*(FS25=FU25)+(($E25-$G25)=(FS25-FU25)))))</f>
        <v/>
      </c>
      <c r="FW25" s="37" t="n"/>
      <c r="FX25" s="5" t="n"/>
      <c r="FY25" s="2" t="n"/>
      <c r="FZ25" s="58" t="inlineStr">
        <is>
          <t>:</t>
        </is>
      </c>
      <c r="GA25" s="2" t="n"/>
      <c r="GB25" s="17">
        <f>IF(ISBLANK($E25),"",(IF(ISBLANK(FY25),0,IF((($E25=FY25)*($G25=GA25))*NOT(ISBLANK($E25)),1,0)+((($E25&gt;$G25)*(FY25&gt;GA25))+(($E25&lt;$G25)*(FY25&lt;GA25))+(($E25=$G25)*(FY25=GA25)))-ISBLANK($E25)*(FY25=GA25)+(($E25-$G25)=(FY25-GA25)))))</f>
        <v/>
      </c>
      <c r="GC25" s="37" t="n"/>
      <c r="GD25" s="5" t="n"/>
      <c r="GE25" s="2" t="n"/>
      <c r="GF25" s="58" t="inlineStr">
        <is>
          <t>:</t>
        </is>
      </c>
      <c r="GG25" s="2" t="n"/>
      <c r="GH25" s="17">
        <f>IF(ISBLANK($E25),"",(IF(ISBLANK(GE25),0,IF((($E25=GE25)*($G25=GG25))*NOT(ISBLANK($E25)),1,0)+((($E25&gt;$G25)*(GE25&gt;GG25))+(($E25&lt;$G25)*(GE25&lt;GG25))+(($E25=$G25)*(GE25=GG25)))-ISBLANK($E25)*(GE25=GG25)+(($E25-$G25)=(GE25-GG25)))))</f>
        <v/>
      </c>
      <c r="GI25" s="37" t="n"/>
      <c r="GJ25" s="5" t="n"/>
      <c r="GK25" s="2" t="n"/>
      <c r="GL25" s="58" t="inlineStr">
        <is>
          <t>:</t>
        </is>
      </c>
      <c r="GM25" s="2" t="n"/>
      <c r="GN25" s="17">
        <f>IF(ISBLANK($E25),"",(IF(ISBLANK(GK25),0,IF((($E25=GK25)*($G25=GM25))*NOT(ISBLANK($E25)),1,0)+((($E25&gt;$G25)*(GK25&gt;GM25))+(($E25&lt;$G25)*(GK25&lt;GM25))+(($E25=$G25)*(GK25=GM25)))-ISBLANK($E25)*(GK25=GM25)+(($E25-$G25)=(GK25-GM25)))))</f>
        <v/>
      </c>
      <c r="GO25" s="37" t="n"/>
      <c r="GP25" s="5" t="n"/>
      <c r="GQ25" s="2" t="n"/>
      <c r="GR25" s="58" t="inlineStr">
        <is>
          <t>:</t>
        </is>
      </c>
      <c r="GS25" s="2" t="n"/>
      <c r="GT25" s="17">
        <f>IF(ISBLANK($E25),"",(IF(ISBLANK(GQ25),0,IF((($E25=GQ25)*($G25=GS25))*NOT(ISBLANK($E25)),1,0)+((($E25&gt;$G25)*(GQ25&gt;GS25))+(($E25&lt;$G25)*(GQ25&lt;GS25))+(($E25=$G25)*(GQ25=GS25)))-ISBLANK($E25)*(GQ25=GS25)+(($E25-$G25)=(GQ25-GS25)))))</f>
        <v/>
      </c>
      <c r="GU25" s="37" t="n"/>
      <c r="GV25" s="5" t="n"/>
    </row>
    <row r="26" ht="18.75" customHeight="1" thickBot="1">
      <c r="A26" s="62" t="n"/>
      <c r="B26" s="70" t="n"/>
      <c r="C26" s="78" t="inlineStr">
        <is>
          <t>:</t>
        </is>
      </c>
      <c r="D26" s="70" t="n"/>
      <c r="E26" s="54" t="n"/>
      <c r="F26" s="55" t="inlineStr">
        <is>
          <t>:</t>
        </is>
      </c>
      <c r="G26" s="55" t="n"/>
      <c r="I26" s="49">
        <f>COUNTIF(P26,3)+COUNTIF(V26,3)+COUNTIF(AB26,3)+COUNTIF(AH26,3)+COUNTIF(AN26,3)+COUNTIF(AT26,3)+COUNTIF(AZ26,3)+COUNTIF(BF26,3)+COUNTIF(BL26,3)+COUNTIF(BR26,3)+COUNTIF(BX26,3)+COUNTIF(CD26,3)+COUNTIF(CJ26,3)+COUNTIF(CP26,3)+COUNTIF(CV26,3)+COUNTIF(DB26,3)+COUNTIF(DH26,3)+COUNTIF(DN26,3)+COUNTIF(DT26,3)+COUNTIF(DZ26,3)+COUNTIF(EF26,3)+COUNTIF(EL26,3)+COUNTIF(ER26,3)+COUNTIF(EX26,3)+COUNTIF(FD26,3)+COUNTIF(FJ26,3)+COUNTIF(FP26,3)+COUNTIF(FV26,3)+COUNTIF(GB26,3)+COUNTIF(GH26,3)+COUNTIF(GN26,3)+COUNTIF(GT26,3)</f>
        <v/>
      </c>
      <c r="J26" s="49">
        <f>COUNTIF(P26,2)+COUNTIF(V26,2)+COUNTIF(AB26,2)+COUNTIF(AH26,2)+COUNTIF(AN26,2)+COUNTIF(AT26,2)+COUNTIF(AZ26,2)+COUNTIF(BF26,2)+COUNTIF(BL26,2)+COUNTIF(BR26,2)+COUNTIF(BX26,2)+COUNTIF(CD26,2)+COUNTIF(CJ26,2)+COUNTIF(CP26,2)+COUNTIF(CV26,2)+COUNTIF(DB26,2)+COUNTIF(DH26,2)+COUNTIF(DN26,2)+COUNTIF(DT26,2)+COUNTIF(DZ26,2)+COUNTIF(EF26,2)+COUNTIF(EL26,2)+COUNTIF(ER26,2)+COUNTIF(EX26,2)+COUNTIF(FD26,2)+COUNTIF(FJ26,2)+COUNTIF(FP26,2)+COUNTIF(FV26,2)+COUNTIF(GB26,2)+COUNTIF(GH26,2)+COUNTIF(GN26,2)+COUNTIF(GT26,2)</f>
        <v/>
      </c>
      <c r="K26" s="49">
        <f>COUNTIF(P26,1)+COUNTIF(V26,1)+COUNTIF(AB26,1)+COUNTIF(AH26,1)+COUNTIF(AN26,1)+COUNTIF(AT26,1)+COUNTIF(AZ26,1)+COUNTIF(BF26,1)+COUNTIF(BL26,1)+COUNTIF(BR26,1)+COUNTIF(BX26,1)+COUNTIF(CD26,1)+COUNTIF(CJ26,1)+COUNTIF(CP26,1)+COUNTIF(CV26,1)+COUNTIF(DB26,1)+COUNTIF(DH26,1)+COUNTIF(DN26,1)+COUNTIF(DT26,1)+COUNTIF(DZ26,1)+COUNTIF(EF26,1)+COUNTIF(EL26,1)+COUNTIF(ER26,1)+COUNTIF(EX26,1)+COUNTIF(FD26,1)+COUNTIF(FJ26,1)+COUNTIF(FP26,1)+COUNTIF(FV26,1)+COUNTIF(GB26,1)+COUNTIF(GH26,1)+COUNTIF(GN26,1)+COUNTIF(GT26,1)</f>
        <v/>
      </c>
      <c r="L26" s="5" t="n"/>
      <c r="M26" s="2" t="n"/>
      <c r="N26" s="58" t="inlineStr">
        <is>
          <t>:</t>
        </is>
      </c>
      <c r="O26" s="2" t="n"/>
      <c r="P26" s="17">
        <f>IF(ISBLANK($E26),"",(IF(ISBLANK(M26),0,IF((($E26=M26)*($G26=O26))*NOT(ISBLANK($E26)),1,0)+((($E26&gt;$G26)*(M26&gt;O26))+(($E26&lt;$G26)*(M26&lt;O26))+(($E26=$G26)*(M26=O26)))-ISBLANK($E26)*(M26=O26)+(($E26-$G26)=(M26-O26)))))</f>
        <v/>
      </c>
      <c r="Q26" s="35" t="n"/>
      <c r="R26" s="5" t="n"/>
      <c r="S26" s="2" t="n"/>
      <c r="T26" s="58" t="inlineStr">
        <is>
          <t>:</t>
        </is>
      </c>
      <c r="U26" s="2" t="n"/>
      <c r="V26" s="17">
        <f>IF(ISBLANK($E26),"",(IF(ISBLANK(S26),0,IF((($E26=S26)*($G26=U26))*NOT(ISBLANK($E26)),1,0)+((($E26&gt;$G26)*(S26&gt;U26))+(($E26&lt;$G26)*(S26&lt;U26))+(($E26=$G26)*(S26=U26)))-ISBLANK($E26)*(S26=U26)+(($E26-$G26)=(S26-U26)))))</f>
        <v/>
      </c>
      <c r="W26" s="37" t="n"/>
      <c r="X26" s="5" t="n"/>
      <c r="Y26" s="2" t="n"/>
      <c r="Z26" s="58" t="inlineStr">
        <is>
          <t>:</t>
        </is>
      </c>
      <c r="AA26" s="2" t="n"/>
      <c r="AB26" s="17">
        <f>IF(ISBLANK($E26),"",(IF(ISBLANK(Y26),0,IF((($E26=Y26)*($G26=AA26))*NOT(ISBLANK($E26)),1,0)+((($E26&gt;$G26)*(Y26&gt;AA26))+(($E26&lt;$G26)*(Y26&lt;AA26))+(($E26=$G26)*(Y26=AA26)))-ISBLANK($E26)*(Y26=AA26)+(($E26-$G26)=(Y26-AA26)))))</f>
        <v/>
      </c>
      <c r="AC26" s="37" t="n"/>
      <c r="AD26" s="5" t="n"/>
      <c r="AE26" s="2" t="n"/>
      <c r="AF26" s="58" t="inlineStr">
        <is>
          <t>:</t>
        </is>
      </c>
      <c r="AG26" s="2" t="n"/>
      <c r="AH26" s="17">
        <f>IF(ISBLANK($E26),"",(IF(ISBLANK(AE26),0,IF((($E26=AE26)*($G26=AG26))*NOT(ISBLANK($E26)),1,0)+((($E26&gt;$G26)*(AE26&gt;AG26))+(($E26&lt;$G26)*(AE26&lt;AG26))+(($E26=$G26)*(AE26=AG26)))-ISBLANK($E26)*(AE26=AG26)+(($E26-$G26)=(AE26-AG26)))))</f>
        <v/>
      </c>
      <c r="AI26" s="37" t="n"/>
      <c r="AJ26" s="5" t="n"/>
      <c r="AK26" s="2" t="n"/>
      <c r="AL26" s="58" t="inlineStr">
        <is>
          <t>:</t>
        </is>
      </c>
      <c r="AM26" s="2" t="n"/>
      <c r="AN26" s="17">
        <f>IF(ISBLANK($E26),"",(IF(ISBLANK(AK26),0,IF((($E26=AK26)*($G26=AM26))*NOT(ISBLANK($E26)),1,0)+((($E26&gt;$G26)*(AK26&gt;AM26))+(($E26&lt;$G26)*(AK26&lt;AM26))+(($E26=$G26)*(AK26=AM26)))-ISBLANK($E26)*(AK26=AM26)+(($E26-$G26)=(AK26-AM26)))))</f>
        <v/>
      </c>
      <c r="AO26" s="37" t="n"/>
      <c r="AP26" s="5" t="n"/>
      <c r="AQ26" s="2" t="n"/>
      <c r="AR26" s="58" t="inlineStr">
        <is>
          <t>:</t>
        </is>
      </c>
      <c r="AS26" s="2" t="n"/>
      <c r="AT26" s="17">
        <f>IF(ISBLANK($E26),"",(IF(ISBLANK(AQ26),0,IF((($E26=AQ26)*($G26=AS26))*NOT(ISBLANK($E26)),1,0)+((($E26&gt;$G26)*(AQ26&gt;AS26))+(($E26&lt;$G26)*(AQ26&lt;AS26))+(($E26=$G26)*(AQ26=AS26)))-ISBLANK($E26)*(AQ26=AS26)+(($E26-$G26)=(AQ26-AS26)))))</f>
        <v/>
      </c>
      <c r="AU26" s="37" t="n"/>
      <c r="AV26" s="5" t="n"/>
      <c r="AW26" s="2" t="n"/>
      <c r="AX26" s="58" t="inlineStr">
        <is>
          <t>:</t>
        </is>
      </c>
      <c r="AY26" s="2" t="n"/>
      <c r="AZ26" s="17">
        <f>IF(ISBLANK($E26),"",(IF(ISBLANK(AW26),0,IF((($E26=AW26)*($G26=AY26))*NOT(ISBLANK($E26)),1,0)+((($E26&gt;$G26)*(AW26&gt;AY26))+(($E26&lt;$G26)*(AW26&lt;AY26))+(($E26=$G26)*(AW26=AY26)))-ISBLANK($E26)*(AW26=AY26)+(($E26-$G26)=(AW26-AY26)))))</f>
        <v/>
      </c>
      <c r="BA26" s="37" t="n"/>
      <c r="BB26" s="5" t="n"/>
      <c r="BC26" s="2" t="n"/>
      <c r="BD26" s="58" t="inlineStr">
        <is>
          <t>:</t>
        </is>
      </c>
      <c r="BE26" s="2" t="n"/>
      <c r="BF26" s="17">
        <f>IF(ISBLANK($E26),"",(IF(ISBLANK(BC26),0,IF((($E26=BC26)*($G26=BE26))*NOT(ISBLANK($E26)),1,0)+((($E26&gt;$G26)*(BC26&gt;BE26))+(($E26&lt;$G26)*(BC26&lt;BE26))+(($E26=$G26)*(BC26=BE26)))-ISBLANK($E26)*(BC26=BE26)+(($E26-$G26)=(BC26-BE26)))))</f>
        <v/>
      </c>
      <c r="BG26" s="37" t="n"/>
      <c r="BH26" s="5" t="n"/>
      <c r="BI26" s="2" t="n"/>
      <c r="BJ26" s="58" t="inlineStr">
        <is>
          <t>:</t>
        </is>
      </c>
      <c r="BK26" s="2" t="n"/>
      <c r="BL26" s="17">
        <f>IF(ISBLANK($E26),"",(IF(ISBLANK(BI26),0,IF((($E26=BI26)*($G26=BK26))*NOT(ISBLANK($E26)),1,0)+((($E26&gt;$G26)*(BI26&gt;BK26))+(($E26&lt;$G26)*(BI26&lt;BK26))+(($E26=$G26)*(BI26=BK26)))-ISBLANK($E26)*(BI26=BK26)+(($E26-$G26)=(BI26-BK26)))))</f>
        <v/>
      </c>
      <c r="BM26" s="37" t="n"/>
      <c r="BN26" s="5" t="n"/>
      <c r="BO26" s="2" t="n"/>
      <c r="BP26" s="58" t="inlineStr">
        <is>
          <t>:</t>
        </is>
      </c>
      <c r="BQ26" s="2" t="n"/>
      <c r="BR26" s="17">
        <f>IF(ISBLANK($E26),"",(IF(ISBLANK(BO26),0,IF((($E26=BO26)*($G26=BQ26))*NOT(ISBLANK($E26)),1,0)+((($E26&gt;$G26)*(BO26&gt;BQ26))+(($E26&lt;$G26)*(BO26&lt;BQ26))+(($E26=$G26)*(BO26=BQ26)))-ISBLANK($E26)*(BO26=BQ26)+(($E26-$G26)=(BO26-BQ26)))))</f>
        <v/>
      </c>
      <c r="BS26" s="37" t="n"/>
      <c r="BT26" s="5" t="n"/>
      <c r="BU26" s="2" t="n"/>
      <c r="BV26" s="58" t="inlineStr">
        <is>
          <t>:</t>
        </is>
      </c>
      <c r="BW26" s="2" t="n"/>
      <c r="BX26" s="17">
        <f>IF(ISBLANK($E26),"",(IF(ISBLANK(BU26),0,IF((($E26=BU26)*($G26=BW26))*NOT(ISBLANK($E26)),1,0)+((($E26&gt;$G26)*(BU26&gt;BW26))+(($E26&lt;$G26)*(BU26&lt;BW26))+(($E26=$G26)*(BU26=BW26)))-ISBLANK($E26)*(BU26=BW26)+(($E26-$G26)=(BU26-BW26)))))</f>
        <v/>
      </c>
      <c r="BY26" s="37" t="n"/>
      <c r="BZ26" s="5" t="n"/>
      <c r="CA26" s="2" t="n"/>
      <c r="CB26" s="58" t="inlineStr">
        <is>
          <t>:</t>
        </is>
      </c>
      <c r="CC26" s="2" t="n"/>
      <c r="CD26" s="17">
        <f>IF(ISBLANK($E26),"",(IF(ISBLANK(CA26),0,IF((($E26=CA26)*($G26=CC26))*NOT(ISBLANK($E26)),1,0)+((($E26&gt;$G26)*(CA26&gt;CC26))+(($E26&lt;$G26)*(CA26&lt;CC26))+(($E26=$G26)*(CA26=CC26)))-ISBLANK($E26)*(CA26=CC26)+(($E26-$G26)=(CA26-CC26)))))</f>
        <v/>
      </c>
      <c r="CE26" s="37" t="n"/>
      <c r="CF26" s="5" t="n"/>
      <c r="CG26" s="2" t="n"/>
      <c r="CH26" s="58" t="inlineStr">
        <is>
          <t>:</t>
        </is>
      </c>
      <c r="CI26" s="2" t="n"/>
      <c r="CJ26" s="17">
        <f>IF(ISBLANK($E26),"",(IF(ISBLANK(CG26),0,IF((($E26=CG26)*($G26=CI26))*NOT(ISBLANK($E26)),1,0)+((($E26&gt;$G26)*(CG26&gt;CI26))+(($E26&lt;$G26)*(CG26&lt;CI26))+(($E26=$G26)*(CG26=CI26)))-ISBLANK($E26)*(CG26=CI26)+(($E26-$G26)=(CG26-CI26)))))</f>
        <v/>
      </c>
      <c r="CK26" s="37" t="n"/>
      <c r="CL26" s="5" t="n"/>
      <c r="CM26" s="2" t="n"/>
      <c r="CN26" s="58" t="inlineStr">
        <is>
          <t>:</t>
        </is>
      </c>
      <c r="CO26" s="2" t="n"/>
      <c r="CP26" s="17">
        <f>IF(ISBLANK($E26),"",(IF(ISBLANK(CM26),0,IF((($E26=CM26)*($G26=CO26))*NOT(ISBLANK($E26)),1,0)+((($E26&gt;$G26)*(CM26&gt;CO26))+(($E26&lt;$G26)*(CM26&lt;CO26))+(($E26=$G26)*(CM26=CO26)))-ISBLANK($E26)*(CM26=CO26)+(($E26-$G26)=(CM26-CO26)))))</f>
        <v/>
      </c>
      <c r="CQ26" s="37" t="n"/>
      <c r="CR26" s="5" t="n"/>
      <c r="CS26" s="2" t="n"/>
      <c r="CT26" s="58" t="inlineStr">
        <is>
          <t>:</t>
        </is>
      </c>
      <c r="CU26" s="2" t="n"/>
      <c r="CV26" s="17">
        <f>IF(ISBLANK($E26),"",(IF(ISBLANK(CS26),0,IF((($E26=CS26)*($G26=CU26))*NOT(ISBLANK($E26)),1,0)+((($E26&gt;$G26)*(CS26&gt;CU26))+(($E26&lt;$G26)*(CS26&lt;CU26))+(($E26=$G26)*(CS26=CU26)))-ISBLANK($E26)*(CS26=CU26)+(($E26-$G26)=(CS26-CU26)))))</f>
        <v/>
      </c>
      <c r="CW26" s="37" t="n"/>
      <c r="CX26" s="5" t="n"/>
      <c r="CY26" s="2" t="n"/>
      <c r="CZ26" s="58" t="inlineStr">
        <is>
          <t>:</t>
        </is>
      </c>
      <c r="DA26" s="2" t="n"/>
      <c r="DB26" s="17">
        <f>IF(ISBLANK($E26),"",(IF(ISBLANK(CY26),0,IF((($E26=CY26)*($G26=DA26))*NOT(ISBLANK($E26)),1,0)+((($E26&gt;$G26)*(CY26&gt;DA26))+(($E26&lt;$G26)*(CY26&lt;DA26))+(($E26=$G26)*(CY26=DA26)))-ISBLANK($E26)*(CY26=DA26)+(($E26-$G26)=(CY26-DA26)))))</f>
        <v/>
      </c>
      <c r="DC26" s="37" t="n"/>
      <c r="DD26" s="5" t="n"/>
      <c r="DE26" s="2" t="n"/>
      <c r="DF26" s="58" t="inlineStr">
        <is>
          <t>:</t>
        </is>
      </c>
      <c r="DG26" s="2" t="n"/>
      <c r="DH26" s="17">
        <f>IF(ISBLANK($E26),"",(IF(ISBLANK(DE26),0,IF((($E26=DE26)*($G26=DG26))*NOT(ISBLANK($E26)),1,0)+((($E26&gt;$G26)*(DE26&gt;DG26))+(($E26&lt;$G26)*(DE26&lt;DG26))+(($E26=$G26)*(DE26=DG26)))-ISBLANK($E26)*(DE26=DG26)+(($E26-$G26)=(DE26-DG26)))))</f>
        <v/>
      </c>
      <c r="DI26" s="37" t="n"/>
      <c r="DJ26" s="5" t="n"/>
      <c r="DK26" s="2" t="n"/>
      <c r="DL26" s="58" t="inlineStr">
        <is>
          <t>:</t>
        </is>
      </c>
      <c r="DM26" s="2" t="n"/>
      <c r="DN26" s="17">
        <f>IF(ISBLANK($E26),"",(IF(ISBLANK(DK26),0,IF((($E26=DK26)*($G26=DM26))*NOT(ISBLANK($E26)),1,0)+((($E26&gt;$G26)*(DK26&gt;DM26))+(($E26&lt;$G26)*(DK26&lt;DM26))+(($E26=$G26)*(DK26=DM26)))-ISBLANK($E26)*(DK26=DM26)+(($E26-$G26)=(DK26-DM26)))))</f>
        <v/>
      </c>
      <c r="DO26" s="37" t="n"/>
      <c r="DP26" s="5" t="n"/>
      <c r="DQ26" s="2" t="n"/>
      <c r="DR26" s="58" t="inlineStr">
        <is>
          <t>:</t>
        </is>
      </c>
      <c r="DS26" s="2" t="n"/>
      <c r="DT26" s="17">
        <f>IF(ISBLANK($E26),"",(IF(ISBLANK(DQ26),0,IF((($E26=DQ26)*($G26=DS26))*NOT(ISBLANK($E26)),1,0)+((($E26&gt;$G26)*(DQ26&gt;DS26))+(($E26&lt;$G26)*(DQ26&lt;DS26))+(($E26=$G26)*(DQ26=DS26)))-ISBLANK($E26)*(DQ26=DS26)+(($E26-$G26)=(DQ26-DS26)))))</f>
        <v/>
      </c>
      <c r="DU26" s="37" t="n"/>
      <c r="DV26" s="5" t="n"/>
      <c r="DW26" s="2" t="n"/>
      <c r="DX26" s="58" t="inlineStr">
        <is>
          <t>:</t>
        </is>
      </c>
      <c r="DY26" s="2" t="n"/>
      <c r="DZ26" s="17">
        <f>IF(ISBLANK($E26),"",(IF(ISBLANK(DW26),0,IF((($E26=DW26)*($G26=DY26))*NOT(ISBLANK($E26)),1,0)+((($E26&gt;$G26)*(DW26&gt;DY26))+(($E26&lt;$G26)*(DW26&lt;DY26))+(($E26=$G26)*(DW26=DY26)))-ISBLANK($E26)*(DW26=DY26)+(($E26-$G26)=(DW26-DY26)))))</f>
        <v/>
      </c>
      <c r="EA26" s="37" t="n"/>
      <c r="EB26" s="5" t="n"/>
      <c r="EC26" s="2" t="n"/>
      <c r="ED26" s="58" t="inlineStr">
        <is>
          <t>:</t>
        </is>
      </c>
      <c r="EE26" s="2" t="n"/>
      <c r="EF26" s="17">
        <f>IF(ISBLANK($E26),"",(IF(ISBLANK(EC26),0,IF((($E26=EC26)*($G26=EE26))*NOT(ISBLANK($E26)),1,0)+((($E26&gt;$G26)*(EC26&gt;EE26))+(($E26&lt;$G26)*(EC26&lt;EE26))+(($E26=$G26)*(EC26=EE26)))-ISBLANK($E26)*(EC26=EE26)+(($E26-$G26)=(EC26-EE26)))))</f>
        <v/>
      </c>
      <c r="EG26" s="37" t="n"/>
      <c r="EH26" s="5" t="n"/>
      <c r="EI26" s="2" t="n"/>
      <c r="EJ26" s="58" t="inlineStr">
        <is>
          <t>:</t>
        </is>
      </c>
      <c r="EK26" s="2" t="n"/>
      <c r="EL26" s="17">
        <f>IF(ISBLANK($E26),"",(IF(ISBLANK(EI26),0,IF((($E26=EI26)*($G26=EK26))*NOT(ISBLANK($E26)),1,0)+((($E26&gt;$G26)*(EI26&gt;EK26))+(($E26&lt;$G26)*(EI26&lt;EK26))+(($E26=$G26)*(EI26=EK26)))-ISBLANK($E26)*(EI26=EK26)+(($E26-$G26)=(EI26-EK26)))))</f>
        <v/>
      </c>
      <c r="EM26" s="37" t="n"/>
      <c r="EN26" s="5" t="n"/>
      <c r="EO26" s="2" t="n"/>
      <c r="EP26" s="58" t="inlineStr">
        <is>
          <t>:</t>
        </is>
      </c>
      <c r="EQ26" s="2" t="n"/>
      <c r="ER26" s="17">
        <f>IF(ISBLANK($E26),"",(IF(ISBLANK(EO26),0,IF((($E26=EO26)*($G26=EQ26))*NOT(ISBLANK($E26)),1,0)+((($E26&gt;$G26)*(EO26&gt;EQ26))+(($E26&lt;$G26)*(EO26&lt;EQ26))+(($E26=$G26)*(EO26=EQ26)))-ISBLANK($E26)*(EO26=EQ26)+(($E26-$G26)=(EO26-EQ26)))))</f>
        <v/>
      </c>
      <c r="ES26" s="37" t="n"/>
      <c r="ET26" s="5" t="n"/>
      <c r="EU26" s="2" t="n"/>
      <c r="EV26" s="58" t="inlineStr">
        <is>
          <t>:</t>
        </is>
      </c>
      <c r="EW26" s="2" t="n"/>
      <c r="EX26" s="17">
        <f>IF(ISBLANK($E26),"",(IF(ISBLANK(EU26),0,IF((($E26=EU26)*($G26=EW26))*NOT(ISBLANK($E26)),1,0)+((($E26&gt;$G26)*(EU26&gt;EW26))+(($E26&lt;$G26)*(EU26&lt;EW26))+(($E26=$G26)*(EU26=EW26)))-ISBLANK($E26)*(EU26=EW26)+(($E26-$G26)=(EU26-EW26)))))</f>
        <v/>
      </c>
      <c r="EY26" s="37" t="n"/>
      <c r="EZ26" s="5" t="n"/>
      <c r="FA26" s="2" t="n"/>
      <c r="FB26" s="58" t="inlineStr">
        <is>
          <t>:</t>
        </is>
      </c>
      <c r="FC26" s="2" t="n"/>
      <c r="FD26" s="17">
        <f>IF(ISBLANK($E26),"",(IF(ISBLANK(FA26),0,IF((($E26=FA26)*($G26=FC26))*NOT(ISBLANK($E26)),1,0)+((($E26&gt;$G26)*(FA26&gt;FC26))+(($E26&lt;$G26)*(FA26&lt;FC26))+(($E26=$G26)*(FA26=FC26)))-ISBLANK($E26)*(FA26=FC26)+(($E26-$G26)=(FA26-FC26)))))</f>
        <v/>
      </c>
      <c r="FE26" s="37" t="n"/>
      <c r="FF26" s="5" t="n"/>
      <c r="FG26" s="2" t="n"/>
      <c r="FH26" s="58" t="inlineStr">
        <is>
          <t>:</t>
        </is>
      </c>
      <c r="FI26" s="2" t="n"/>
      <c r="FJ26" s="17">
        <f>IF(ISBLANK($E26),"",(IF(ISBLANK(FG26),0,IF((($E26=FG26)*($G26=FI26))*NOT(ISBLANK($E26)),1,0)+((($E26&gt;$G26)*(FG26&gt;FI26))+(($E26&lt;$G26)*(FG26&lt;FI26))+(($E26=$G26)*(FG26=FI26)))-ISBLANK($E26)*(FG26=FI26)+(($E26-$G26)=(FG26-FI26)))))</f>
        <v/>
      </c>
      <c r="FK26" s="37" t="n"/>
      <c r="FL26" s="5" t="n"/>
      <c r="FM26" s="2" t="n"/>
      <c r="FN26" s="58" t="inlineStr">
        <is>
          <t>:</t>
        </is>
      </c>
      <c r="FO26" s="2" t="n"/>
      <c r="FP26" s="17">
        <f>IF(ISBLANK($E26),"",(IF(ISBLANK(FM26),0,IF((($E26=FM26)*($G26=FO26))*NOT(ISBLANK($E26)),1,0)+((($E26&gt;$G26)*(FM26&gt;FO26))+(($E26&lt;$G26)*(FM26&lt;FO26))+(($E26=$G26)*(FM26=FO26)))-ISBLANK($E26)*(FM26=FO26)+(($E26-$G26)=(FM26-FO26)))))</f>
        <v/>
      </c>
      <c r="FQ26" s="37" t="n"/>
      <c r="FR26" s="5" t="n"/>
      <c r="FS26" s="2" t="n"/>
      <c r="FT26" s="58" t="inlineStr">
        <is>
          <t>:</t>
        </is>
      </c>
      <c r="FU26" s="2" t="n"/>
      <c r="FV26" s="17">
        <f>IF(ISBLANK($E26),"",(IF(ISBLANK(FS26),0,IF((($E26=FS26)*($G26=FU26))*NOT(ISBLANK($E26)),1,0)+((($E26&gt;$G26)*(FS26&gt;FU26))+(($E26&lt;$G26)*(FS26&lt;FU26))+(($E26=$G26)*(FS26=FU26)))-ISBLANK($E26)*(FS26=FU26)+(($E26-$G26)=(FS26-FU26)))))</f>
        <v/>
      </c>
      <c r="FW26" s="37" t="n"/>
      <c r="FX26" s="5" t="n"/>
      <c r="FY26" s="2" t="n"/>
      <c r="FZ26" s="58" t="inlineStr">
        <is>
          <t>:</t>
        </is>
      </c>
      <c r="GA26" s="2" t="n"/>
      <c r="GB26" s="17">
        <f>IF(ISBLANK($E26),"",(IF(ISBLANK(FY26),0,IF((($E26=FY26)*($G26=GA26))*NOT(ISBLANK($E26)),1,0)+((($E26&gt;$G26)*(FY26&gt;GA26))+(($E26&lt;$G26)*(FY26&lt;GA26))+(($E26=$G26)*(FY26=GA26)))-ISBLANK($E26)*(FY26=GA26)+(($E26-$G26)=(FY26-GA26)))))</f>
        <v/>
      </c>
      <c r="GC26" s="37" t="n"/>
      <c r="GD26" s="5" t="n"/>
      <c r="GE26" s="2" t="n"/>
      <c r="GF26" s="58" t="inlineStr">
        <is>
          <t>:</t>
        </is>
      </c>
      <c r="GG26" s="2" t="n"/>
      <c r="GH26" s="17">
        <f>IF(ISBLANK($E26),"",(IF(ISBLANK(GE26),0,IF((($E26=GE26)*($G26=GG26))*NOT(ISBLANK($E26)),1,0)+((($E26&gt;$G26)*(GE26&gt;GG26))+(($E26&lt;$G26)*(GE26&lt;GG26))+(($E26=$G26)*(GE26=GG26)))-ISBLANK($E26)*(GE26=GG26)+(($E26-$G26)=(GE26-GG26)))))</f>
        <v/>
      </c>
      <c r="GI26" s="37" t="n"/>
      <c r="GJ26" s="5" t="n"/>
      <c r="GK26" s="2" t="n"/>
      <c r="GL26" s="58" t="inlineStr">
        <is>
          <t>:</t>
        </is>
      </c>
      <c r="GM26" s="2" t="n"/>
      <c r="GN26" s="17">
        <f>IF(ISBLANK($E26),"",(IF(ISBLANK(GK26),0,IF((($E26=GK26)*($G26=GM26))*NOT(ISBLANK($E26)),1,0)+((($E26&gt;$G26)*(GK26&gt;GM26))+(($E26&lt;$G26)*(GK26&lt;GM26))+(($E26=$G26)*(GK26=GM26)))-ISBLANK($E26)*(GK26=GM26)+(($E26-$G26)=(GK26-GM26)))))</f>
        <v/>
      </c>
      <c r="GO26" s="37" t="n"/>
      <c r="GP26" s="5" t="n"/>
      <c r="GQ26" s="2" t="n"/>
      <c r="GR26" s="58" t="inlineStr">
        <is>
          <t>:</t>
        </is>
      </c>
      <c r="GS26" s="2" t="n"/>
      <c r="GT26" s="17">
        <f>IF(ISBLANK($E26),"",(IF(ISBLANK(GQ26),0,IF((($E26=GQ26)*($G26=GS26))*NOT(ISBLANK($E26)),1,0)+((($E26&gt;$G26)*(GQ26&gt;GS26))+(($E26&lt;$G26)*(GQ26&lt;GS26))+(($E26=$G26)*(GQ26=GS26)))-ISBLANK($E26)*(GQ26=GS26)+(($E26-$G26)=(GQ26-GS26)))))</f>
        <v/>
      </c>
      <c r="GU26" s="37" t="n"/>
      <c r="GV26" s="5" t="n"/>
    </row>
    <row r="27" ht="27" customHeight="1" thickBot="1">
      <c r="M27" s="32" t="n"/>
      <c r="N27" s="32" t="n"/>
      <c r="O27" s="32" t="n"/>
      <c r="P27" s="18" t="n"/>
      <c r="Q27" s="33" t="n"/>
      <c r="S27" s="36" t="n"/>
      <c r="T27" s="36" t="n"/>
      <c r="U27" s="36" t="n"/>
      <c r="V27" s="18" t="n"/>
      <c r="W27" s="34" t="n"/>
      <c r="Y27" s="36" t="n"/>
      <c r="Z27" s="36" t="n"/>
      <c r="AA27" s="36" t="n"/>
      <c r="AB27" s="18" t="n"/>
      <c r="AC27" s="34" t="n"/>
      <c r="AE27" s="36" t="n"/>
      <c r="AF27" s="36" t="n"/>
      <c r="AG27" s="36" t="n"/>
      <c r="AH27" s="18" t="n"/>
      <c r="AI27" s="34" t="n"/>
      <c r="AK27" s="36" t="n"/>
      <c r="AL27" s="36" t="n"/>
      <c r="AM27" s="36" t="n"/>
      <c r="AN27" s="18" t="n"/>
      <c r="AO27" s="34" t="n"/>
      <c r="AQ27" s="36" t="n"/>
      <c r="AR27" s="36" t="n"/>
      <c r="AS27" s="36" t="n"/>
      <c r="AT27" s="18" t="n"/>
      <c r="AU27" s="34" t="n"/>
      <c r="AW27" s="36" t="n"/>
      <c r="AX27" s="36" t="n"/>
      <c r="AY27" s="36" t="n"/>
      <c r="AZ27" s="18" t="n"/>
      <c r="BA27" s="34" t="n"/>
      <c r="BC27" s="36" t="n"/>
      <c r="BD27" s="36" t="n"/>
      <c r="BE27" s="36" t="n"/>
      <c r="BF27" s="18" t="n"/>
      <c r="BG27" s="34" t="n"/>
      <c r="BI27" s="36" t="n"/>
      <c r="BJ27" s="36" t="n"/>
      <c r="BK27" s="36" t="n"/>
      <c r="BL27" s="18" t="n"/>
      <c r="BM27" s="34" t="n"/>
      <c r="BO27" s="36" t="n"/>
      <c r="BP27" s="36" t="n"/>
      <c r="BQ27" s="36" t="n"/>
      <c r="BR27" s="18" t="n"/>
      <c r="BS27" s="34" t="n"/>
      <c r="BU27" s="36" t="n"/>
      <c r="BV27" s="36" t="n"/>
      <c r="BW27" s="36" t="n"/>
      <c r="BX27" s="18" t="n"/>
      <c r="BY27" s="34" t="n"/>
      <c r="CA27" s="36" t="n"/>
      <c r="CB27" s="36" t="n"/>
      <c r="CC27" s="36" t="n"/>
      <c r="CD27" s="18" t="n"/>
      <c r="CE27" s="34" t="n"/>
      <c r="CG27" s="36" t="n"/>
      <c r="CH27" s="36" t="n"/>
      <c r="CI27" s="36" t="n"/>
      <c r="CJ27" s="18" t="n"/>
      <c r="CK27" s="34" t="n"/>
      <c r="CM27" s="36" t="n"/>
      <c r="CN27" s="36" t="n"/>
      <c r="CO27" s="36" t="n"/>
      <c r="CP27" s="18" t="n"/>
      <c r="CQ27" s="34" t="n"/>
      <c r="CS27" s="36" t="n"/>
      <c r="CT27" s="36" t="n"/>
      <c r="CU27" s="36" t="n"/>
      <c r="CV27" s="18" t="n"/>
      <c r="CW27" s="34" t="n"/>
      <c r="CY27" s="36" t="n"/>
      <c r="CZ27" s="36" t="n"/>
      <c r="DA27" s="36" t="n"/>
      <c r="DB27" s="18" t="n"/>
      <c r="DC27" s="34" t="n"/>
      <c r="DE27" s="36" t="n"/>
      <c r="DF27" s="36" t="n"/>
      <c r="DG27" s="36" t="n"/>
      <c r="DH27" s="18" t="n"/>
      <c r="DI27" s="34" t="n"/>
      <c r="DK27" s="36" t="n"/>
      <c r="DL27" s="36" t="n"/>
      <c r="DM27" s="36" t="n"/>
      <c r="DN27" s="18" t="n"/>
      <c r="DO27" s="34" t="n"/>
      <c r="DQ27" s="36" t="n"/>
      <c r="DR27" s="36" t="n"/>
      <c r="DS27" s="36" t="n"/>
      <c r="DT27" s="18" t="n"/>
      <c r="DU27" s="34" t="n"/>
      <c r="DW27" s="36" t="n"/>
      <c r="DX27" s="36" t="n"/>
      <c r="DY27" s="36" t="n"/>
      <c r="DZ27" s="18" t="n"/>
      <c r="EA27" s="34" t="n"/>
      <c r="EC27" s="36" t="n"/>
      <c r="ED27" s="36" t="n"/>
      <c r="EE27" s="36" t="n"/>
      <c r="EF27" s="18" t="n"/>
      <c r="EG27" s="34" t="n"/>
      <c r="EI27" s="36" t="n"/>
      <c r="EJ27" s="36" t="n"/>
      <c r="EK27" s="36" t="n"/>
      <c r="EL27" s="18" t="n"/>
      <c r="EM27" s="34" t="n"/>
      <c r="EO27" s="36" t="n"/>
      <c r="EP27" s="36" t="n"/>
      <c r="EQ27" s="36" t="n"/>
      <c r="ER27" s="18" t="n"/>
      <c r="ES27" s="34" t="n"/>
      <c r="EU27" s="36" t="n"/>
      <c r="EV27" s="36" t="n"/>
      <c r="EW27" s="36" t="n"/>
      <c r="EX27" s="18" t="n"/>
      <c r="EY27" s="34" t="n"/>
      <c r="FA27" s="36" t="n"/>
      <c r="FB27" s="36" t="n"/>
      <c r="FC27" s="36" t="n"/>
      <c r="FD27" s="18" t="n"/>
      <c r="FE27" s="34" t="n"/>
      <c r="FG27" s="36" t="n"/>
      <c r="FH27" s="36" t="n"/>
      <c r="FI27" s="36" t="n"/>
      <c r="FJ27" s="18" t="n"/>
      <c r="FK27" s="34" t="n"/>
      <c r="FM27" s="36" t="n"/>
      <c r="FN27" s="36" t="n"/>
      <c r="FO27" s="36" t="n"/>
      <c r="FP27" s="18" t="n"/>
      <c r="FQ27" s="34" t="n"/>
      <c r="FS27" s="36" t="n"/>
      <c r="FT27" s="36" t="n"/>
      <c r="FU27" s="36" t="n"/>
      <c r="FV27" s="18" t="n"/>
      <c r="FW27" s="34" t="n"/>
      <c r="FY27" s="36" t="n"/>
      <c r="FZ27" s="36" t="n"/>
      <c r="GA27" s="36" t="n"/>
      <c r="GB27" s="18" t="n"/>
      <c r="GC27" s="34" t="n"/>
      <c r="GE27" s="36" t="n"/>
      <c r="GF27" s="36" t="n"/>
      <c r="GG27" s="36" t="n"/>
      <c r="GH27" s="18" t="n"/>
      <c r="GI27" s="34" t="n"/>
      <c r="GK27" s="36" t="n"/>
      <c r="GL27" s="36" t="n"/>
      <c r="GM27" s="36" t="n"/>
      <c r="GN27" s="18" t="n"/>
      <c r="GO27" s="34" t="n"/>
      <c r="GQ27" s="36" t="n"/>
      <c r="GR27" s="36" t="n"/>
      <c r="GS27" s="36" t="n"/>
      <c r="GT27" s="18" t="n"/>
      <c r="GU27" s="34" t="n"/>
    </row>
    <row r="28" ht="15.75" customHeight="1" thickBot="1">
      <c r="H28" s="1" t="inlineStr">
        <is>
          <t xml:space="preserve"> </t>
        </is>
      </c>
      <c r="M28" s="32" t="n"/>
      <c r="N28" s="32" t="n"/>
      <c r="O28" s="32" t="n"/>
      <c r="P28" s="33" t="n"/>
      <c r="Q28" s="33" t="n"/>
      <c r="S28" s="36" t="n"/>
      <c r="T28" s="36" t="n"/>
      <c r="U28" s="36" t="n"/>
      <c r="V28" s="34" t="n"/>
      <c r="W28" s="34" t="n"/>
      <c r="Y28" s="36" t="n"/>
      <c r="Z28" s="36" t="n"/>
      <c r="AA28" s="36" t="n"/>
      <c r="AB28" s="34" t="n"/>
      <c r="AC28" s="34" t="n"/>
      <c r="AE28" s="36" t="n"/>
      <c r="AF28" s="36" t="n"/>
      <c r="AG28" s="36" t="n"/>
      <c r="AH28" s="34" t="n"/>
      <c r="AI28" s="34" t="n"/>
      <c r="AK28" s="36" t="n"/>
      <c r="AL28" s="36" t="n"/>
      <c r="AM28" s="36" t="n"/>
      <c r="AN28" s="34" t="n"/>
      <c r="AO28" s="34" t="n"/>
      <c r="AQ28" s="36" t="n"/>
      <c r="AR28" s="36" t="n"/>
      <c r="AS28" s="36" t="n"/>
      <c r="AT28" s="34" t="n"/>
      <c r="AU28" s="34" t="n"/>
      <c r="AW28" s="36" t="n"/>
      <c r="AX28" s="36" t="n"/>
      <c r="AY28" s="36" t="n"/>
      <c r="AZ28" s="34" t="n"/>
      <c r="BA28" s="34" t="n"/>
      <c r="BC28" s="36" t="n"/>
      <c r="BD28" s="36" t="n"/>
      <c r="BE28" s="36" t="n"/>
      <c r="BF28" s="34" t="n"/>
      <c r="BG28" s="34" t="n"/>
      <c r="BI28" s="36" t="n"/>
      <c r="BJ28" s="36" t="n"/>
      <c r="BK28" s="36" t="n"/>
      <c r="BL28" s="34" t="n"/>
      <c r="BM28" s="34" t="n"/>
      <c r="BO28" s="36" t="n"/>
      <c r="BP28" s="36" t="n"/>
      <c r="BQ28" s="36" t="n"/>
      <c r="BR28" s="34" t="n"/>
      <c r="BS28" s="34" t="n"/>
      <c r="BU28" s="36" t="n"/>
      <c r="BV28" s="36" t="n"/>
      <c r="BW28" s="36" t="n"/>
      <c r="BX28" s="34" t="n"/>
      <c r="BY28" s="34" t="n"/>
      <c r="CA28" s="36" t="n"/>
      <c r="CB28" s="36" t="n"/>
      <c r="CC28" s="36" t="n"/>
      <c r="CD28" s="34" t="n"/>
      <c r="CE28" s="34" t="n"/>
      <c r="CG28" s="36" t="n"/>
      <c r="CH28" s="36" t="n"/>
      <c r="CI28" s="36" t="n"/>
      <c r="CJ28" s="34" t="n"/>
      <c r="CK28" s="34" t="n"/>
      <c r="CM28" s="36" t="n"/>
      <c r="CN28" s="36" t="n"/>
      <c r="CO28" s="36" t="n"/>
      <c r="CP28" s="34" t="n"/>
      <c r="CQ28" s="34" t="n"/>
      <c r="CS28" s="36" t="n"/>
      <c r="CT28" s="36" t="n"/>
      <c r="CU28" s="36" t="n"/>
      <c r="CV28" s="34" t="n"/>
      <c r="CW28" s="34" t="n"/>
      <c r="CY28" s="36" t="n"/>
      <c r="CZ28" s="36" t="n"/>
      <c r="DA28" s="36" t="n"/>
      <c r="DB28" s="34" t="n"/>
      <c r="DC28" s="34" t="n"/>
      <c r="DE28" s="36" t="n"/>
      <c r="DF28" s="36" t="n"/>
      <c r="DG28" s="36" t="n"/>
      <c r="DH28" s="34" t="n"/>
      <c r="DI28" s="34" t="n"/>
      <c r="DK28" s="36" t="n"/>
      <c r="DL28" s="36" t="n"/>
      <c r="DM28" s="36" t="n"/>
      <c r="DN28" s="34" t="n"/>
      <c r="DO28" s="34" t="n"/>
      <c r="DQ28" s="36" t="n"/>
      <c r="DR28" s="36" t="n"/>
      <c r="DS28" s="36" t="n"/>
      <c r="DT28" s="34" t="n"/>
      <c r="DU28" s="34" t="n"/>
      <c r="DW28" s="36" t="n"/>
      <c r="DX28" s="36" t="n"/>
      <c r="DY28" s="36" t="n"/>
      <c r="DZ28" s="34" t="n"/>
      <c r="EA28" s="34" t="n"/>
      <c r="EC28" s="36" t="n"/>
      <c r="ED28" s="36" t="n"/>
      <c r="EE28" s="36" t="n"/>
      <c r="EF28" s="34" t="n"/>
      <c r="EG28" s="34" t="n"/>
      <c r="EI28" s="36" t="n"/>
      <c r="EJ28" s="36" t="n"/>
      <c r="EK28" s="36" t="n"/>
      <c r="EL28" s="34" t="n"/>
      <c r="EM28" s="34" t="n"/>
      <c r="EO28" s="36" t="n"/>
      <c r="EP28" s="36" t="n"/>
      <c r="EQ28" s="36" t="n"/>
      <c r="ER28" s="34" t="n"/>
      <c r="ES28" s="34" t="n"/>
      <c r="EU28" s="36" t="n"/>
      <c r="EV28" s="36" t="n"/>
      <c r="EW28" s="36" t="n"/>
      <c r="EX28" s="34" t="n"/>
      <c r="EY28" s="34" t="n"/>
      <c r="FA28" s="36" t="n"/>
      <c r="FB28" s="36" t="n"/>
      <c r="FC28" s="36" t="n"/>
      <c r="FD28" s="34" t="n"/>
      <c r="FE28" s="34" t="n"/>
      <c r="FG28" s="36" t="n"/>
      <c r="FH28" s="36" t="n"/>
      <c r="FI28" s="36" t="n"/>
      <c r="FJ28" s="34" t="n"/>
      <c r="FK28" s="34" t="n"/>
      <c r="FM28" s="36" t="n"/>
      <c r="FN28" s="36" t="n"/>
      <c r="FO28" s="36" t="n"/>
      <c r="FP28" s="34" t="n"/>
      <c r="FQ28" s="34" t="n"/>
      <c r="FS28" s="36" t="n"/>
      <c r="FT28" s="36" t="n"/>
      <c r="FU28" s="36" t="n"/>
      <c r="FV28" s="34" t="n"/>
      <c r="FW28" s="34" t="n"/>
      <c r="FY28" s="36" t="n"/>
      <c r="FZ28" s="36" t="n"/>
      <c r="GA28" s="36" t="n"/>
      <c r="GB28" s="34" t="n"/>
      <c r="GC28" s="34" t="n"/>
      <c r="GE28" s="36" t="n"/>
      <c r="GF28" s="36" t="n"/>
      <c r="GG28" s="36" t="n"/>
      <c r="GH28" s="34" t="n"/>
      <c r="GI28" s="34" t="n"/>
      <c r="GK28" s="36" t="n"/>
      <c r="GL28" s="36" t="n"/>
      <c r="GM28" s="36" t="n"/>
      <c r="GN28" s="34" t="n"/>
      <c r="GO28" s="34" t="n"/>
      <c r="GQ28" s="36" t="n"/>
      <c r="GR28" s="36" t="n"/>
      <c r="GS28" s="36" t="n"/>
      <c r="GT28" s="34" t="n"/>
      <c r="GU28" s="34" t="n"/>
    </row>
    <row r="29">
      <c r="M29" s="19" t="n"/>
      <c r="N29" s="19" t="n">
        <v>1</v>
      </c>
      <c r="O29" s="19" t="n">
        <v>2</v>
      </c>
      <c r="P29" s="20" t="inlineStr">
        <is>
          <t>Ges</t>
        </is>
      </c>
      <c r="Q29" s="21" t="inlineStr">
        <is>
          <t>Total</t>
        </is>
      </c>
      <c r="S29" s="19" t="n"/>
      <c r="T29" s="19" t="n">
        <v>1</v>
      </c>
      <c r="U29" s="19" t="n">
        <v>2</v>
      </c>
      <c r="V29" s="20" t="inlineStr">
        <is>
          <t>Ges</t>
        </is>
      </c>
      <c r="W29" s="21" t="inlineStr">
        <is>
          <t>Total</t>
        </is>
      </c>
      <c r="Y29" s="19" t="n"/>
      <c r="Z29" s="19" t="n">
        <v>1</v>
      </c>
      <c r="AA29" s="19" t="n">
        <v>2</v>
      </c>
      <c r="AB29" s="20" t="inlineStr">
        <is>
          <t>Ges</t>
        </is>
      </c>
      <c r="AC29" s="21" t="inlineStr">
        <is>
          <t>Total</t>
        </is>
      </c>
      <c r="AE29" s="19" t="n"/>
      <c r="AF29" s="19" t="n">
        <v>1</v>
      </c>
      <c r="AG29" s="19" t="n">
        <v>2</v>
      </c>
      <c r="AH29" s="20" t="inlineStr">
        <is>
          <t>Ges</t>
        </is>
      </c>
      <c r="AI29" s="21" t="inlineStr">
        <is>
          <t>Total</t>
        </is>
      </c>
      <c r="AK29" s="19" t="n"/>
      <c r="AL29" s="19" t="n">
        <v>1</v>
      </c>
      <c r="AM29" s="19" t="n">
        <v>2</v>
      </c>
      <c r="AN29" s="20" t="inlineStr">
        <is>
          <t>Ges</t>
        </is>
      </c>
      <c r="AO29" s="21" t="inlineStr">
        <is>
          <t>Total</t>
        </is>
      </c>
      <c r="AQ29" s="19" t="n"/>
      <c r="AR29" s="19" t="n">
        <v>1</v>
      </c>
      <c r="AS29" s="19" t="n">
        <v>2</v>
      </c>
      <c r="AT29" s="20" t="inlineStr">
        <is>
          <t>Ges</t>
        </is>
      </c>
      <c r="AU29" s="21" t="inlineStr">
        <is>
          <t>Total</t>
        </is>
      </c>
      <c r="AW29" s="19" t="n"/>
      <c r="AX29" s="19" t="n">
        <v>1</v>
      </c>
      <c r="AY29" s="19" t="n">
        <v>2</v>
      </c>
      <c r="AZ29" s="20" t="inlineStr">
        <is>
          <t>Ges</t>
        </is>
      </c>
      <c r="BA29" s="21" t="inlineStr">
        <is>
          <t>Total</t>
        </is>
      </c>
      <c r="BC29" s="19" t="n"/>
      <c r="BD29" s="19" t="n">
        <v>1</v>
      </c>
      <c r="BE29" s="19" t="n">
        <v>2</v>
      </c>
      <c r="BF29" s="20" t="inlineStr">
        <is>
          <t>Ges</t>
        </is>
      </c>
      <c r="BG29" s="21" t="inlineStr">
        <is>
          <t>Total</t>
        </is>
      </c>
      <c r="BI29" s="19" t="n"/>
      <c r="BJ29" s="19" t="n">
        <v>1</v>
      </c>
      <c r="BK29" s="19" t="n">
        <v>2</v>
      </c>
      <c r="BL29" s="20" t="inlineStr">
        <is>
          <t>Ges</t>
        </is>
      </c>
      <c r="BM29" s="21" t="inlineStr">
        <is>
          <t>Total</t>
        </is>
      </c>
      <c r="BO29" s="19" t="n"/>
      <c r="BP29" s="19" t="n">
        <v>1</v>
      </c>
      <c r="BQ29" s="19" t="n">
        <v>2</v>
      </c>
      <c r="BR29" s="20" t="inlineStr">
        <is>
          <t>Ges</t>
        </is>
      </c>
      <c r="BS29" s="21" t="inlineStr">
        <is>
          <t>Total</t>
        </is>
      </c>
      <c r="BU29" s="19" t="n"/>
      <c r="BV29" s="19" t="n">
        <v>1</v>
      </c>
      <c r="BW29" s="19" t="n">
        <v>2</v>
      </c>
      <c r="BX29" s="20" t="inlineStr">
        <is>
          <t>Ges</t>
        </is>
      </c>
      <c r="BY29" s="21" t="inlineStr">
        <is>
          <t>Total</t>
        </is>
      </c>
      <c r="CA29" s="19" t="n"/>
      <c r="CB29" s="19" t="n">
        <v>1</v>
      </c>
      <c r="CC29" s="19" t="n">
        <v>2</v>
      </c>
      <c r="CD29" s="20" t="inlineStr">
        <is>
          <t>Ges</t>
        </is>
      </c>
      <c r="CE29" s="21" t="inlineStr">
        <is>
          <t>Total</t>
        </is>
      </c>
      <c r="CG29" s="19" t="n"/>
      <c r="CH29" s="19" t="n">
        <v>1</v>
      </c>
      <c r="CI29" s="19" t="n">
        <v>2</v>
      </c>
      <c r="CJ29" s="20" t="inlineStr">
        <is>
          <t>Ges</t>
        </is>
      </c>
      <c r="CK29" s="21" t="inlineStr">
        <is>
          <t>Total</t>
        </is>
      </c>
      <c r="CM29" s="19" t="n"/>
      <c r="CN29" s="19" t="n">
        <v>1</v>
      </c>
      <c r="CO29" s="19" t="n">
        <v>2</v>
      </c>
      <c r="CP29" s="20" t="inlineStr">
        <is>
          <t>Ges</t>
        </is>
      </c>
      <c r="CQ29" s="21" t="inlineStr">
        <is>
          <t>Total</t>
        </is>
      </c>
      <c r="CS29" s="19" t="n"/>
      <c r="CT29" s="19" t="n">
        <v>1</v>
      </c>
      <c r="CU29" s="19" t="n">
        <v>2</v>
      </c>
      <c r="CV29" s="20" t="inlineStr">
        <is>
          <t>Ges</t>
        </is>
      </c>
      <c r="CW29" s="21" t="inlineStr">
        <is>
          <t>Total</t>
        </is>
      </c>
      <c r="CY29" s="19" t="n"/>
      <c r="CZ29" s="19" t="n">
        <v>1</v>
      </c>
      <c r="DA29" s="19" t="n">
        <v>2</v>
      </c>
      <c r="DB29" s="20" t="inlineStr">
        <is>
          <t>Ges</t>
        </is>
      </c>
      <c r="DC29" s="21" t="inlineStr">
        <is>
          <t>Total</t>
        </is>
      </c>
      <c r="DE29" s="19" t="n"/>
      <c r="DF29" s="19" t="n">
        <v>1</v>
      </c>
      <c r="DG29" s="19" t="n">
        <v>2</v>
      </c>
      <c r="DH29" s="20" t="inlineStr">
        <is>
          <t>Ges</t>
        </is>
      </c>
      <c r="DI29" s="21" t="inlineStr">
        <is>
          <t>Total</t>
        </is>
      </c>
      <c r="DK29" s="19" t="n"/>
      <c r="DL29" s="19" t="n">
        <v>1</v>
      </c>
      <c r="DM29" s="19" t="n">
        <v>2</v>
      </c>
      <c r="DN29" s="20" t="inlineStr">
        <is>
          <t>Ges</t>
        </is>
      </c>
      <c r="DO29" s="21" t="inlineStr">
        <is>
          <t>Total</t>
        </is>
      </c>
      <c r="DQ29" s="19" t="n"/>
      <c r="DR29" s="19" t="n">
        <v>1</v>
      </c>
      <c r="DS29" s="19" t="n">
        <v>2</v>
      </c>
      <c r="DT29" s="20" t="inlineStr">
        <is>
          <t>Ges</t>
        </is>
      </c>
      <c r="DU29" s="21" t="inlineStr">
        <is>
          <t>Total</t>
        </is>
      </c>
      <c r="DW29" s="19" t="n"/>
      <c r="DX29" s="19" t="n">
        <v>1</v>
      </c>
      <c r="DY29" s="19" t="n">
        <v>2</v>
      </c>
      <c r="DZ29" s="20" t="inlineStr">
        <is>
          <t>Ges</t>
        </is>
      </c>
      <c r="EA29" s="21" t="inlineStr">
        <is>
          <t>Total</t>
        </is>
      </c>
      <c r="EC29" s="19" t="n"/>
      <c r="ED29" s="19" t="n">
        <v>1</v>
      </c>
      <c r="EE29" s="19" t="n">
        <v>2</v>
      </c>
      <c r="EF29" s="20" t="inlineStr">
        <is>
          <t>Ges</t>
        </is>
      </c>
      <c r="EG29" s="21" t="inlineStr">
        <is>
          <t>Total</t>
        </is>
      </c>
      <c r="EI29" s="19" t="n"/>
      <c r="EJ29" s="19" t="n">
        <v>1</v>
      </c>
      <c r="EK29" s="19" t="n">
        <v>2</v>
      </c>
      <c r="EL29" s="20" t="inlineStr">
        <is>
          <t>Ges</t>
        </is>
      </c>
      <c r="EM29" s="21" t="inlineStr">
        <is>
          <t>Total</t>
        </is>
      </c>
      <c r="EO29" s="19" t="n"/>
      <c r="EP29" s="19" t="n">
        <v>1</v>
      </c>
      <c r="EQ29" s="19" t="n">
        <v>2</v>
      </c>
      <c r="ER29" s="20" t="inlineStr">
        <is>
          <t>Ges</t>
        </is>
      </c>
      <c r="ES29" s="21" t="inlineStr">
        <is>
          <t>Total</t>
        </is>
      </c>
      <c r="EU29" s="19" t="n"/>
      <c r="EV29" s="19" t="n">
        <v>1</v>
      </c>
      <c r="EW29" s="19" t="n">
        <v>2</v>
      </c>
      <c r="EX29" s="20" t="inlineStr">
        <is>
          <t>Ges</t>
        </is>
      </c>
      <c r="EY29" s="21" t="inlineStr">
        <is>
          <t>Total</t>
        </is>
      </c>
      <c r="FA29" s="19" t="n"/>
      <c r="FB29" s="19" t="n">
        <v>1</v>
      </c>
      <c r="FC29" s="19" t="n">
        <v>2</v>
      </c>
      <c r="FD29" s="20" t="inlineStr">
        <is>
          <t>Ges</t>
        </is>
      </c>
      <c r="FE29" s="21" t="inlineStr">
        <is>
          <t>Total</t>
        </is>
      </c>
      <c r="FG29" s="19" t="n"/>
      <c r="FH29" s="19" t="n">
        <v>1</v>
      </c>
      <c r="FI29" s="19" t="n">
        <v>2</v>
      </c>
      <c r="FJ29" s="20" t="inlineStr">
        <is>
          <t>Ges</t>
        </is>
      </c>
      <c r="FK29" s="21" t="inlineStr">
        <is>
          <t>Total</t>
        </is>
      </c>
      <c r="FM29" s="19" t="n"/>
      <c r="FN29" s="19" t="n">
        <v>1</v>
      </c>
      <c r="FO29" s="19" t="n">
        <v>2</v>
      </c>
      <c r="FP29" s="20" t="inlineStr">
        <is>
          <t>Ges</t>
        </is>
      </c>
      <c r="FQ29" s="21" t="inlineStr">
        <is>
          <t>Total</t>
        </is>
      </c>
      <c r="FS29" s="19" t="n"/>
      <c r="FT29" s="19" t="n">
        <v>1</v>
      </c>
      <c r="FU29" s="19" t="n">
        <v>2</v>
      </c>
      <c r="FV29" s="20" t="inlineStr">
        <is>
          <t>Ges</t>
        </is>
      </c>
      <c r="FW29" s="21" t="inlineStr">
        <is>
          <t>Total</t>
        </is>
      </c>
      <c r="FY29" s="19" t="n"/>
      <c r="FZ29" s="19" t="n">
        <v>1</v>
      </c>
      <c r="GA29" s="19" t="n">
        <v>2</v>
      </c>
      <c r="GB29" s="20" t="inlineStr">
        <is>
          <t>Ges</t>
        </is>
      </c>
      <c r="GC29" s="21" t="inlineStr">
        <is>
          <t>Total</t>
        </is>
      </c>
      <c r="GE29" s="19" t="n"/>
      <c r="GF29" s="19" t="n">
        <v>1</v>
      </c>
      <c r="GG29" s="19" t="n">
        <v>2</v>
      </c>
      <c r="GH29" s="20" t="inlineStr">
        <is>
          <t>Ges</t>
        </is>
      </c>
      <c r="GI29" s="21" t="inlineStr">
        <is>
          <t>Total</t>
        </is>
      </c>
      <c r="GK29" s="19" t="n"/>
      <c r="GL29" s="19" t="n">
        <v>1</v>
      </c>
      <c r="GM29" s="19" t="n">
        <v>2</v>
      </c>
      <c r="GN29" s="20" t="inlineStr">
        <is>
          <t>Ges</t>
        </is>
      </c>
      <c r="GO29" s="21" t="inlineStr">
        <is>
          <t>Total</t>
        </is>
      </c>
      <c r="GQ29" s="19" t="n"/>
      <c r="GR29" s="19" t="n">
        <v>1</v>
      </c>
      <c r="GS29" s="19" t="n">
        <v>2</v>
      </c>
      <c r="GT29" s="20" t="inlineStr">
        <is>
          <t>Ges</t>
        </is>
      </c>
      <c r="GU29" s="21" t="inlineStr">
        <is>
          <t>Total</t>
        </is>
      </c>
    </row>
    <row r="30">
      <c r="B30" s="85" t="inlineStr">
        <is>
          <t>mail tippleitung:</t>
        </is>
      </c>
      <c r="C30" s="8" t="n"/>
      <c r="D30" s="7" t="n"/>
      <c r="M30" s="22" t="n"/>
      <c r="N30" s="22" t="n"/>
      <c r="O30" s="22" t="n"/>
      <c r="P30" s="23" t="n"/>
      <c r="Q30" s="24" t="n"/>
      <c r="S30" s="22" t="n"/>
      <c r="T30" s="22" t="n"/>
      <c r="U30" s="22" t="n"/>
      <c r="V30" s="23" t="n"/>
      <c r="W30" s="24" t="n"/>
      <c r="Y30" s="22" t="n"/>
      <c r="Z30" s="22" t="n"/>
      <c r="AA30" s="22" t="n"/>
      <c r="AB30" s="23" t="n"/>
      <c r="AC30" s="24" t="n"/>
      <c r="AE30" s="22" t="n"/>
      <c r="AF30" s="22" t="n"/>
      <c r="AG30" s="22" t="n"/>
      <c r="AH30" s="23" t="n"/>
      <c r="AI30" s="24" t="n"/>
      <c r="AK30" s="22" t="n"/>
      <c r="AL30" s="22" t="n"/>
      <c r="AM30" s="22" t="n"/>
      <c r="AN30" s="23" t="n"/>
      <c r="AO30" s="24" t="n"/>
      <c r="AQ30" s="22" t="n"/>
      <c r="AR30" s="22" t="n"/>
      <c r="AS30" s="22" t="n"/>
      <c r="AT30" s="23" t="n"/>
      <c r="AU30" s="24" t="n"/>
      <c r="AW30" s="22" t="n"/>
      <c r="AX30" s="22" t="n"/>
      <c r="AY30" s="22" t="n"/>
      <c r="AZ30" s="23" t="n"/>
      <c r="BA30" s="24" t="n"/>
      <c r="BC30" s="22" t="n"/>
      <c r="BD30" s="22" t="n"/>
      <c r="BE30" s="22" t="n"/>
      <c r="BF30" s="23" t="n"/>
      <c r="BG30" s="24" t="n"/>
      <c r="BI30" s="22" t="n"/>
      <c r="BJ30" s="22" t="n"/>
      <c r="BK30" s="22" t="n"/>
      <c r="BL30" s="23" t="n"/>
      <c r="BM30" s="24" t="n"/>
      <c r="BO30" s="22" t="n"/>
      <c r="BP30" s="22" t="n"/>
      <c r="BQ30" s="22" t="n"/>
      <c r="BR30" s="23" t="n"/>
      <c r="BS30" s="24" t="n"/>
      <c r="BU30" s="22" t="n"/>
      <c r="BV30" s="22" t="n"/>
      <c r="BW30" s="22" t="n"/>
      <c r="BX30" s="23" t="n"/>
      <c r="BY30" s="24" t="n"/>
      <c r="CA30" s="22" t="n"/>
      <c r="CB30" s="22" t="n"/>
      <c r="CC30" s="22" t="n"/>
      <c r="CD30" s="23" t="n"/>
      <c r="CE30" s="24" t="n"/>
      <c r="CG30" s="22" t="n"/>
      <c r="CH30" s="22" t="n"/>
      <c r="CI30" s="22" t="n"/>
      <c r="CJ30" s="23" t="n"/>
      <c r="CK30" s="24" t="n"/>
      <c r="CM30" s="22" t="n"/>
      <c r="CN30" s="22" t="n"/>
      <c r="CO30" s="22" t="n"/>
      <c r="CP30" s="23" t="n"/>
      <c r="CQ30" s="24" t="n"/>
      <c r="CS30" s="22" t="n"/>
      <c r="CT30" s="22" t="n"/>
      <c r="CU30" s="22" t="n"/>
      <c r="CV30" s="23" t="n"/>
      <c r="CW30" s="24" t="n"/>
      <c r="CY30" s="22" t="n"/>
      <c r="CZ30" s="22" t="n"/>
      <c r="DA30" s="22" t="n"/>
      <c r="DB30" s="23" t="n"/>
      <c r="DC30" s="24" t="n"/>
      <c r="DE30" s="22" t="n"/>
      <c r="DF30" s="22" t="n"/>
      <c r="DG30" s="22" t="n"/>
      <c r="DH30" s="23" t="n"/>
      <c r="DI30" s="24" t="n"/>
      <c r="DK30" s="22" t="n"/>
      <c r="DL30" s="22" t="n"/>
      <c r="DM30" s="22" t="n"/>
      <c r="DN30" s="23" t="n"/>
      <c r="DO30" s="24" t="n"/>
      <c r="DQ30" s="22" t="n"/>
      <c r="DR30" s="22" t="n"/>
      <c r="DS30" s="22" t="n"/>
      <c r="DT30" s="23" t="n"/>
      <c r="DU30" s="24" t="n"/>
      <c r="DW30" s="22" t="n"/>
      <c r="DX30" s="22" t="n"/>
      <c r="DY30" s="22" t="n"/>
      <c r="DZ30" s="23" t="n"/>
      <c r="EA30" s="24" t="n"/>
      <c r="EC30" s="22" t="n"/>
      <c r="ED30" s="22" t="n"/>
      <c r="EE30" s="22" t="n"/>
      <c r="EF30" s="23" t="n"/>
      <c r="EG30" s="24" t="n"/>
      <c r="EI30" s="22" t="n"/>
      <c r="EJ30" s="22" t="n"/>
      <c r="EK30" s="22" t="n"/>
      <c r="EL30" s="23" t="n"/>
      <c r="EM30" s="24" t="n"/>
      <c r="EO30" s="22" t="n"/>
      <c r="EP30" s="22" t="n"/>
      <c r="EQ30" s="22" t="n"/>
      <c r="ER30" s="23" t="n"/>
      <c r="ES30" s="24" t="n"/>
      <c r="EU30" s="22" t="n"/>
      <c r="EV30" s="22" t="n"/>
      <c r="EW30" s="22" t="n"/>
      <c r="EX30" s="23" t="n"/>
      <c r="EY30" s="24" t="n"/>
      <c r="FA30" s="22" t="n"/>
      <c r="FB30" s="22" t="n"/>
      <c r="FC30" s="22" t="n"/>
      <c r="FD30" s="23" t="n"/>
      <c r="FE30" s="24" t="n"/>
      <c r="FG30" s="22" t="n"/>
      <c r="FH30" s="22" t="n"/>
      <c r="FI30" s="22" t="n"/>
      <c r="FJ30" s="23" t="n"/>
      <c r="FK30" s="24" t="n"/>
      <c r="FM30" s="22" t="n"/>
      <c r="FN30" s="22" t="n"/>
      <c r="FO30" s="22" t="n"/>
      <c r="FP30" s="23" t="n"/>
      <c r="FQ30" s="24" t="n"/>
      <c r="FS30" s="22" t="n"/>
      <c r="FT30" s="22" t="n"/>
      <c r="FU30" s="22" t="n"/>
      <c r="FV30" s="23" t="n"/>
      <c r="FW30" s="24" t="n"/>
      <c r="FY30" s="22" t="n"/>
      <c r="FZ30" s="22" t="n"/>
      <c r="GA30" s="22" t="n"/>
      <c r="GB30" s="23" t="n"/>
      <c r="GC30" s="24" t="n"/>
      <c r="GE30" s="22" t="n"/>
      <c r="GF30" s="22" t="n"/>
      <c r="GG30" s="22" t="n"/>
      <c r="GH30" s="23" t="n"/>
      <c r="GI30" s="24" t="n"/>
      <c r="GK30" s="22" t="n"/>
      <c r="GL30" s="22" t="n"/>
      <c r="GM30" s="22" t="n"/>
      <c r="GN30" s="23" t="n"/>
      <c r="GO30" s="24" t="n"/>
      <c r="GQ30" s="22" t="n"/>
      <c r="GR30" s="22" t="n"/>
      <c r="GS30" s="22" t="n"/>
      <c r="GT30" s="23" t="n"/>
      <c r="GU30" s="24" t="n"/>
    </row>
    <row r="31">
      <c r="B31" t="inlineStr">
        <is>
          <t>winzer@ttmediaworld.de (Jukkel)</t>
        </is>
      </c>
      <c r="C31" s="8" t="n"/>
      <c r="D31" s="7" t="n"/>
      <c r="M31" s="80" t="inlineStr">
        <is>
          <t>Fr</t>
        </is>
      </c>
      <c r="N31" s="25" t="n"/>
      <c r="O31" s="25" t="n"/>
      <c r="P31" s="26">
        <f>SUM(N31,O31)</f>
        <v/>
      </c>
      <c r="Q31" s="27">
        <f>SUM(P31)</f>
        <v/>
      </c>
      <c r="S31" s="80" t="inlineStr">
        <is>
          <t>Fr</t>
        </is>
      </c>
      <c r="T31" s="25" t="n"/>
      <c r="U31" s="25" t="n"/>
      <c r="V31" s="26">
        <f>SUM(T31,U31)</f>
        <v/>
      </c>
      <c r="W31" s="27">
        <f>SUM(V31)</f>
        <v/>
      </c>
      <c r="Y31" s="80" t="inlineStr">
        <is>
          <t>Fr</t>
        </is>
      </c>
      <c r="Z31" s="25" t="n"/>
      <c r="AA31" s="25" t="n"/>
      <c r="AB31" s="26">
        <f>SUM(Z31,AA31)</f>
        <v/>
      </c>
      <c r="AC31" s="27">
        <f>SUM(AB31)</f>
        <v/>
      </c>
      <c r="AE31" s="80" t="inlineStr">
        <is>
          <t>Fr</t>
        </is>
      </c>
      <c r="AF31" s="25" t="n"/>
      <c r="AG31" s="25" t="n"/>
      <c r="AH31" s="26">
        <f>SUM(AF31,AG31)</f>
        <v/>
      </c>
      <c r="AI31" s="27">
        <f>SUM(AH31)</f>
        <v/>
      </c>
      <c r="AK31" s="80" t="inlineStr">
        <is>
          <t>Fr</t>
        </is>
      </c>
      <c r="AL31" s="25" t="n"/>
      <c r="AM31" s="25" t="n"/>
      <c r="AN31" s="26">
        <f>SUM(AL31,AM31)</f>
        <v/>
      </c>
      <c r="AO31" s="27">
        <f>SUM(AN31)</f>
        <v/>
      </c>
      <c r="AQ31" s="80" t="inlineStr">
        <is>
          <t>Fr</t>
        </is>
      </c>
      <c r="AR31" s="25" t="n"/>
      <c r="AS31" s="25" t="n"/>
      <c r="AT31" s="26">
        <f>SUM(AR31,AS31)</f>
        <v/>
      </c>
      <c r="AU31" s="27">
        <f>SUM(AT31)</f>
        <v/>
      </c>
      <c r="AW31" s="80" t="inlineStr">
        <is>
          <t>Fr</t>
        </is>
      </c>
      <c r="AX31" s="25" t="n"/>
      <c r="AY31" s="25" t="n"/>
      <c r="AZ31" s="26">
        <f>SUM(AX31,AY31)</f>
        <v/>
      </c>
      <c r="BA31" s="27">
        <f>SUM(AZ31)</f>
        <v/>
      </c>
      <c r="BC31" s="80" t="inlineStr">
        <is>
          <t>Fr</t>
        </is>
      </c>
      <c r="BD31" s="25" t="n"/>
      <c r="BE31" s="25" t="n"/>
      <c r="BF31" s="26">
        <f>SUM(BD31,BE31)</f>
        <v/>
      </c>
      <c r="BG31" s="27">
        <f>SUM(BF31)</f>
        <v/>
      </c>
      <c r="BI31" s="80" t="inlineStr">
        <is>
          <t>Fr</t>
        </is>
      </c>
      <c r="BJ31" s="25" t="n"/>
      <c r="BK31" s="25" t="n"/>
      <c r="BL31" s="26">
        <f>SUM(BJ31,BK31)</f>
        <v/>
      </c>
      <c r="BM31" s="27">
        <f>SUM(BL31)</f>
        <v/>
      </c>
      <c r="BO31" s="80" t="inlineStr">
        <is>
          <t>Fr</t>
        </is>
      </c>
      <c r="BP31" s="25" t="n"/>
      <c r="BQ31" s="25" t="n"/>
      <c r="BR31" s="26">
        <f>SUM(BP31,BQ31)</f>
        <v/>
      </c>
      <c r="BS31" s="27">
        <f>SUM(BR31)</f>
        <v/>
      </c>
      <c r="BU31" s="80" t="inlineStr">
        <is>
          <t>Fr</t>
        </is>
      </c>
      <c r="BV31" s="25" t="n"/>
      <c r="BW31" s="25" t="n"/>
      <c r="BX31" s="26">
        <f>SUM(BV31,BW31)</f>
        <v/>
      </c>
      <c r="BY31" s="27">
        <f>SUM(BX31)</f>
        <v/>
      </c>
      <c r="CA31" s="80" t="inlineStr">
        <is>
          <t>Fr</t>
        </is>
      </c>
      <c r="CB31" s="25" t="n"/>
      <c r="CC31" s="25" t="n"/>
      <c r="CD31" s="26">
        <f>SUM(CB31,CC31)</f>
        <v/>
      </c>
      <c r="CE31" s="27">
        <f>SUM(CD31)</f>
        <v/>
      </c>
      <c r="CG31" s="80" t="inlineStr">
        <is>
          <t>Fr</t>
        </is>
      </c>
      <c r="CH31" s="25" t="n"/>
      <c r="CI31" s="25" t="n"/>
      <c r="CJ31" s="26">
        <f>SUM(CH31,CI31)</f>
        <v/>
      </c>
      <c r="CK31" s="27">
        <f>SUM(CJ31)</f>
        <v/>
      </c>
      <c r="CM31" s="80" t="inlineStr">
        <is>
          <t>Fr</t>
        </is>
      </c>
      <c r="CN31" s="25" t="n"/>
      <c r="CO31" s="25" t="n"/>
      <c r="CP31" s="26">
        <f>SUM(CN31,CO31)</f>
        <v/>
      </c>
      <c r="CQ31" s="27">
        <f>SUM(CP31)</f>
        <v/>
      </c>
      <c r="CS31" s="80" t="inlineStr">
        <is>
          <t>Fr</t>
        </is>
      </c>
      <c r="CT31" s="25" t="n"/>
      <c r="CU31" s="25" t="n"/>
      <c r="CV31" s="26">
        <f>SUM(CT31,CU31)</f>
        <v/>
      </c>
      <c r="CW31" s="27">
        <f>SUM(CV31)</f>
        <v/>
      </c>
      <c r="CY31" s="80" t="inlineStr">
        <is>
          <t>Fr</t>
        </is>
      </c>
      <c r="CZ31" s="25" t="n"/>
      <c r="DA31" s="25" t="n"/>
      <c r="DB31" s="26">
        <f>SUM(CZ31,DA31)</f>
        <v/>
      </c>
      <c r="DC31" s="27">
        <f>SUM(DB31)</f>
        <v/>
      </c>
      <c r="DE31" s="80" t="inlineStr">
        <is>
          <t>Fr</t>
        </is>
      </c>
      <c r="DF31" s="25" t="n"/>
      <c r="DG31" s="25" t="n"/>
      <c r="DH31" s="26">
        <f>SUM(DF31,DG31)</f>
        <v/>
      </c>
      <c r="DI31" s="27">
        <f>SUM(DH31)</f>
        <v/>
      </c>
      <c r="DK31" s="80" t="inlineStr">
        <is>
          <t>Fr</t>
        </is>
      </c>
      <c r="DL31" s="25" t="n"/>
      <c r="DM31" s="25" t="n"/>
      <c r="DN31" s="26">
        <f>SUM(DL31,DM31)</f>
        <v/>
      </c>
      <c r="DO31" s="27">
        <f>SUM(DN31)</f>
        <v/>
      </c>
      <c r="DQ31" s="80" t="inlineStr">
        <is>
          <t>Fr</t>
        </is>
      </c>
      <c r="DR31" s="25" t="n"/>
      <c r="DS31" s="25" t="n"/>
      <c r="DT31" s="26">
        <f>SUM(DR31,DS31)</f>
        <v/>
      </c>
      <c r="DU31" s="27">
        <f>SUM(DT31)</f>
        <v/>
      </c>
      <c r="DW31" s="80" t="inlineStr">
        <is>
          <t>Fr</t>
        </is>
      </c>
      <c r="DX31" s="25" t="n"/>
      <c r="DY31" s="25" t="n"/>
      <c r="DZ31" s="26">
        <f>SUM(DX31,DY31)</f>
        <v/>
      </c>
      <c r="EA31" s="27">
        <f>SUM(DZ31)</f>
        <v/>
      </c>
      <c r="EC31" s="80" t="inlineStr">
        <is>
          <t>Fr</t>
        </is>
      </c>
      <c r="ED31" s="25" t="n"/>
      <c r="EE31" s="25" t="n"/>
      <c r="EF31" s="26">
        <f>SUM(ED31,EE31)</f>
        <v/>
      </c>
      <c r="EG31" s="27">
        <f>SUM(EF31)</f>
        <v/>
      </c>
      <c r="EI31" s="80" t="inlineStr">
        <is>
          <t>Fr</t>
        </is>
      </c>
      <c r="EJ31" s="25" t="n"/>
      <c r="EK31" s="25" t="n"/>
      <c r="EL31" s="26">
        <f>SUM(EJ31,EK31)</f>
        <v/>
      </c>
      <c r="EM31" s="27">
        <f>SUM(EL31)</f>
        <v/>
      </c>
      <c r="EO31" s="80" t="inlineStr">
        <is>
          <t>Fr</t>
        </is>
      </c>
      <c r="EP31" s="25" t="n"/>
      <c r="EQ31" s="25" t="n"/>
      <c r="ER31" s="26">
        <f>SUM(EP31,EQ31)</f>
        <v/>
      </c>
      <c r="ES31" s="27">
        <f>SUM(ER31)</f>
        <v/>
      </c>
      <c r="EU31" s="80" t="inlineStr">
        <is>
          <t>Fr</t>
        </is>
      </c>
      <c r="EV31" s="25" t="n"/>
      <c r="EW31" s="25" t="n"/>
      <c r="EX31" s="26">
        <f>SUM(EV31,EW31)</f>
        <v/>
      </c>
      <c r="EY31" s="27">
        <f>SUM(EX31)</f>
        <v/>
      </c>
      <c r="FA31" s="80" t="inlineStr">
        <is>
          <t>Fr</t>
        </is>
      </c>
      <c r="FB31" s="25" t="n"/>
      <c r="FC31" s="25" t="n"/>
      <c r="FD31" s="26">
        <f>SUM(FB31,FC31)</f>
        <v/>
      </c>
      <c r="FE31" s="27">
        <f>SUM(FD31)</f>
        <v/>
      </c>
      <c r="FG31" s="80" t="inlineStr">
        <is>
          <t>Fr</t>
        </is>
      </c>
      <c r="FH31" s="25" t="n"/>
      <c r="FI31" s="25" t="n"/>
      <c r="FJ31" s="26">
        <f>SUM(FH31,FI31)</f>
        <v/>
      </c>
      <c r="FK31" s="27">
        <f>SUM(FJ31)</f>
        <v/>
      </c>
      <c r="FM31" s="80" t="inlineStr">
        <is>
          <t>Fr</t>
        </is>
      </c>
      <c r="FN31" s="25" t="n"/>
      <c r="FO31" s="25" t="n"/>
      <c r="FP31" s="26">
        <f>SUM(FN31,FO31)</f>
        <v/>
      </c>
      <c r="FQ31" s="27">
        <f>SUM(FP31)</f>
        <v/>
      </c>
      <c r="FS31" s="80" t="inlineStr">
        <is>
          <t>Fr</t>
        </is>
      </c>
      <c r="FT31" s="25" t="n"/>
      <c r="FU31" s="25" t="n"/>
      <c r="FV31" s="26">
        <f>SUM(FT31,FU31)</f>
        <v/>
      </c>
      <c r="FW31" s="27">
        <f>SUM(FV31)</f>
        <v/>
      </c>
      <c r="FY31" s="80" t="inlineStr">
        <is>
          <t>Fr</t>
        </is>
      </c>
      <c r="FZ31" s="25" t="n"/>
      <c r="GA31" s="25" t="n"/>
      <c r="GB31" s="26">
        <f>SUM(FZ31,GA31)</f>
        <v/>
      </c>
      <c r="GC31" s="27">
        <f>SUM(GB31)</f>
        <v/>
      </c>
      <c r="GE31" s="80" t="inlineStr">
        <is>
          <t>Fr</t>
        </is>
      </c>
      <c r="GF31" s="25" t="n"/>
      <c r="GG31" s="25" t="n"/>
      <c r="GH31" s="26">
        <f>SUM(GF31,GG31)</f>
        <v/>
      </c>
      <c r="GI31" s="27">
        <f>SUM(GH31)</f>
        <v/>
      </c>
      <c r="GK31" s="80" t="inlineStr">
        <is>
          <t>Fr</t>
        </is>
      </c>
      <c r="GL31" s="25" t="n"/>
      <c r="GM31" s="25" t="n"/>
      <c r="GN31" s="26">
        <f>SUM(GL31,GM31)</f>
        <v/>
      </c>
      <c r="GO31" s="27">
        <f>SUM(GN31)</f>
        <v/>
      </c>
      <c r="GQ31" s="80" t="inlineStr">
        <is>
          <t>Fr</t>
        </is>
      </c>
      <c r="GR31" s="25" t="n"/>
      <c r="GS31" s="25" t="n"/>
      <c r="GT31" s="26">
        <f>SUM(GR31,GS31)</f>
        <v/>
      </c>
      <c r="GU31" s="27">
        <f>SUM(GT31)</f>
        <v/>
      </c>
    </row>
    <row r="32">
      <c r="B32" s="7" t="inlineStr">
        <is>
          <t>rainer.muenchenbach@t-online.de (Bächli)</t>
        </is>
      </c>
      <c r="C32" s="8" t="n"/>
      <c r="D32" s="7" t="n"/>
      <c r="H32" s="90" t="inlineStr">
        <is>
          <t xml:space="preserve">  </t>
        </is>
      </c>
      <c r="M32" s="22" t="n"/>
      <c r="N32" s="22" t="n"/>
      <c r="O32" s="22" t="n"/>
      <c r="P32" s="23" t="n"/>
      <c r="Q32" s="24" t="n"/>
      <c r="S32" s="22" t="n"/>
      <c r="T32" s="22" t="n"/>
      <c r="U32" s="22" t="n"/>
      <c r="V32" s="23" t="n"/>
      <c r="W32" s="24" t="n"/>
      <c r="Y32" s="22" t="n"/>
      <c r="Z32" s="22" t="n"/>
      <c r="AA32" s="22" t="n"/>
      <c r="AB32" s="23" t="n"/>
      <c r="AC32" s="24" t="n"/>
      <c r="AE32" s="22" t="n"/>
      <c r="AF32" s="22" t="n"/>
      <c r="AG32" s="22" t="n"/>
      <c r="AH32" s="23" t="n"/>
      <c r="AI32" s="24" t="n"/>
      <c r="AK32" s="22" t="n"/>
      <c r="AL32" s="22" t="n"/>
      <c r="AM32" s="22" t="n"/>
      <c r="AN32" s="23" t="n"/>
      <c r="AO32" s="24" t="n"/>
      <c r="AQ32" s="22" t="n"/>
      <c r="AR32" s="22" t="n"/>
      <c r="AS32" s="22" t="n"/>
      <c r="AT32" s="23" t="n"/>
      <c r="AU32" s="24" t="n"/>
      <c r="AW32" s="22" t="n"/>
      <c r="AX32" s="22" t="n"/>
      <c r="AY32" s="22" t="n"/>
      <c r="AZ32" s="23" t="n"/>
      <c r="BA32" s="24" t="n"/>
      <c r="BC32" s="22" t="n"/>
      <c r="BD32" s="22" t="n"/>
      <c r="BE32" s="22" t="n"/>
      <c r="BF32" s="23" t="n"/>
      <c r="BG32" s="24" t="n"/>
      <c r="BI32" s="22" t="n"/>
      <c r="BJ32" s="22" t="n"/>
      <c r="BK32" s="22" t="n"/>
      <c r="BL32" s="23" t="n"/>
      <c r="BM32" s="24" t="n"/>
      <c r="BO32" s="22" t="n"/>
      <c r="BP32" s="22" t="n"/>
      <c r="BQ32" s="22" t="n"/>
      <c r="BR32" s="23" t="n"/>
      <c r="BS32" s="24" t="n"/>
      <c r="BU32" s="22" t="n"/>
      <c r="BV32" s="22" t="n"/>
      <c r="BW32" s="22" t="n"/>
      <c r="BX32" s="23" t="n"/>
      <c r="BY32" s="24" t="n"/>
      <c r="CA32" s="22" t="n"/>
      <c r="CB32" s="22" t="n"/>
      <c r="CC32" s="22" t="n"/>
      <c r="CD32" s="23" t="n"/>
      <c r="CE32" s="24" t="n"/>
      <c r="CG32" s="22" t="n"/>
      <c r="CH32" s="22" t="n"/>
      <c r="CI32" s="22" t="n"/>
      <c r="CJ32" s="23" t="n"/>
      <c r="CK32" s="24" t="n"/>
      <c r="CM32" s="22" t="n"/>
      <c r="CN32" s="22" t="n"/>
      <c r="CO32" s="22" t="n"/>
      <c r="CP32" s="23" t="n"/>
      <c r="CQ32" s="24" t="n"/>
      <c r="CS32" s="22" t="n"/>
      <c r="CT32" s="22" t="n"/>
      <c r="CU32" s="22" t="n"/>
      <c r="CV32" s="23" t="n"/>
      <c r="CW32" s="24" t="n"/>
      <c r="CY32" s="22" t="n"/>
      <c r="CZ32" s="22" t="n"/>
      <c r="DA32" s="22" t="n"/>
      <c r="DB32" s="23" t="n"/>
      <c r="DC32" s="24" t="n"/>
      <c r="DE32" s="22" t="n"/>
      <c r="DF32" s="22" t="n"/>
      <c r="DG32" s="22" t="n"/>
      <c r="DH32" s="23" t="n"/>
      <c r="DI32" s="24" t="n"/>
      <c r="DK32" s="22" t="n"/>
      <c r="DL32" s="22" t="n"/>
      <c r="DM32" s="22" t="n"/>
      <c r="DN32" s="23" t="n"/>
      <c r="DO32" s="24" t="n"/>
      <c r="DQ32" s="22" t="n"/>
      <c r="DR32" s="22" t="n"/>
      <c r="DS32" s="22" t="n"/>
      <c r="DT32" s="23" t="n"/>
      <c r="DU32" s="24" t="n"/>
      <c r="DW32" s="22" t="n"/>
      <c r="DX32" s="22" t="n"/>
      <c r="DY32" s="22" t="n"/>
      <c r="DZ32" s="23" t="n"/>
      <c r="EA32" s="24" t="n"/>
      <c r="EC32" s="22" t="n"/>
      <c r="ED32" s="22" t="n"/>
      <c r="EE32" s="22" t="n"/>
      <c r="EF32" s="23" t="n"/>
      <c r="EG32" s="24" t="n"/>
      <c r="EI32" s="22" t="n"/>
      <c r="EJ32" s="22" t="n"/>
      <c r="EK32" s="22" t="n"/>
      <c r="EL32" s="23" t="n"/>
      <c r="EM32" s="24" t="n"/>
      <c r="EO32" s="22" t="n"/>
      <c r="EP32" s="22" t="n"/>
      <c r="EQ32" s="22" t="n"/>
      <c r="ER32" s="23" t="n"/>
      <c r="ES32" s="24" t="n"/>
      <c r="EU32" s="22" t="n"/>
      <c r="EV32" s="22" t="n"/>
      <c r="EW32" s="22" t="n"/>
      <c r="EX32" s="23" t="n"/>
      <c r="EY32" s="24" t="n"/>
      <c r="FA32" s="22" t="n"/>
      <c r="FB32" s="22" t="n"/>
      <c r="FC32" s="22" t="n"/>
      <c r="FD32" s="23" t="n"/>
      <c r="FE32" s="24" t="n"/>
      <c r="FG32" s="22" t="n"/>
      <c r="FH32" s="22" t="n"/>
      <c r="FI32" s="22" t="n"/>
      <c r="FJ32" s="23" t="n"/>
      <c r="FK32" s="24" t="n"/>
      <c r="FM32" s="22" t="n"/>
      <c r="FN32" s="22" t="n"/>
      <c r="FO32" s="22" t="n"/>
      <c r="FP32" s="23" t="n"/>
      <c r="FQ32" s="24" t="n"/>
      <c r="FS32" s="22" t="n"/>
      <c r="FT32" s="22" t="n"/>
      <c r="FU32" s="22" t="n"/>
      <c r="FV32" s="23" t="n"/>
      <c r="FW32" s="24" t="n"/>
      <c r="FY32" s="22" t="n"/>
      <c r="FZ32" s="22" t="n"/>
      <c r="GA32" s="22" t="n"/>
      <c r="GB32" s="23" t="n"/>
      <c r="GC32" s="24" t="n"/>
      <c r="GE32" s="22" t="n"/>
      <c r="GF32" s="22" t="n"/>
      <c r="GG32" s="22" t="n"/>
      <c r="GH32" s="23" t="n"/>
      <c r="GI32" s="24" t="n"/>
      <c r="GK32" s="22" t="n"/>
      <c r="GL32" s="22" t="n"/>
      <c r="GM32" s="22" t="n"/>
      <c r="GN32" s="23" t="n"/>
      <c r="GO32" s="24" t="n"/>
      <c r="GQ32" s="22" t="n"/>
      <c r="GR32" s="22" t="n"/>
      <c r="GS32" s="22" t="n"/>
      <c r="GT32" s="23" t="n"/>
      <c r="GU32" s="24" t="n"/>
    </row>
    <row r="33">
      <c r="B33" s="7" t="n"/>
      <c r="C33" s="8" t="n"/>
      <c r="D33" s="7" t="n"/>
      <c r="E33" s="3" t="n"/>
      <c r="M33" s="80" t="inlineStr">
        <is>
          <t>Sa</t>
        </is>
      </c>
      <c r="N33" s="80">
        <f>SUM(P6,P7,P8,P9,P10,P11,P12,P13,P14)</f>
        <v/>
      </c>
      <c r="O33" s="25" t="n"/>
      <c r="P33" s="26">
        <f>SUM(N33,O33)</f>
        <v/>
      </c>
      <c r="Q33" s="27">
        <f>SUM(P33,Q31)</f>
        <v/>
      </c>
      <c r="S33" s="80" t="inlineStr">
        <is>
          <t>Sa</t>
        </is>
      </c>
      <c r="T33" s="80">
        <f>SUM(V6,V7,V8,V9,V10,V11,V12,V13,V14)</f>
        <v/>
      </c>
      <c r="U33" s="25" t="n"/>
      <c r="V33" s="26">
        <f>SUM(T33,U33)</f>
        <v/>
      </c>
      <c r="W33" s="27">
        <f>SUM(V33,W31)</f>
        <v/>
      </c>
      <c r="Y33" s="80" t="inlineStr">
        <is>
          <t>Sa</t>
        </is>
      </c>
      <c r="Z33" s="80">
        <f>SUM(AB6,AB7,AB8,AB9,AB10,AB11,AB12,AB13,AB14)</f>
        <v/>
      </c>
      <c r="AA33" s="25" t="n"/>
      <c r="AB33" s="26">
        <f>SUM(Z33,AA33)</f>
        <v/>
      </c>
      <c r="AC33" s="27">
        <f>SUM(AB33,AC31)</f>
        <v/>
      </c>
      <c r="AE33" s="80" t="inlineStr">
        <is>
          <t>Sa</t>
        </is>
      </c>
      <c r="AF33" s="80">
        <f>SUM(AH6,AH7,AH8,AH9,AH10,AH11,AH12,AH13,AH14)</f>
        <v/>
      </c>
      <c r="AG33" s="25" t="n"/>
      <c r="AH33" s="26">
        <f>SUM(AF33,AG33)</f>
        <v/>
      </c>
      <c r="AI33" s="27">
        <f>SUM(AH33,AI31)</f>
        <v/>
      </c>
      <c r="AK33" s="80" t="inlineStr">
        <is>
          <t>Sa</t>
        </is>
      </c>
      <c r="AL33" s="80">
        <f>SUM(AN6,AN7,AN8,AN9,AN10,AN11,AN12,AN13,AN14)</f>
        <v/>
      </c>
      <c r="AM33" s="25" t="n"/>
      <c r="AN33" s="26">
        <f>SUM(AL33,AM33)</f>
        <v/>
      </c>
      <c r="AO33" s="27">
        <f>SUM(AN33,AO31)</f>
        <v/>
      </c>
      <c r="AQ33" s="80" t="inlineStr">
        <is>
          <t>Sa</t>
        </is>
      </c>
      <c r="AR33" s="80">
        <f>SUM(AT6,AT7,AT8,AT9,AT10,AT11,AT12,AT13,AT14)</f>
        <v/>
      </c>
      <c r="AS33" s="25" t="n"/>
      <c r="AT33" s="26">
        <f>SUM(AR33,AS33)</f>
        <v/>
      </c>
      <c r="AU33" s="27">
        <f>SUM(AT33,AU31)</f>
        <v/>
      </c>
      <c r="AW33" s="80" t="inlineStr">
        <is>
          <t>Sa</t>
        </is>
      </c>
      <c r="AX33" s="80">
        <f>SUM(AZ6,AZ7,AZ8,AZ9,AZ10,AZ11,AZ12,AZ13,AZ14)</f>
        <v/>
      </c>
      <c r="AY33" s="25" t="n"/>
      <c r="AZ33" s="26">
        <f>SUM(AX33,AY33)</f>
        <v/>
      </c>
      <c r="BA33" s="27">
        <f>SUM(AZ33,BA31)</f>
        <v/>
      </c>
      <c r="BC33" s="80" t="inlineStr">
        <is>
          <t>Sa</t>
        </is>
      </c>
      <c r="BD33" s="80">
        <f>SUM(BF6,BF7,BF8,BF9,BF10,BF11,BF12,BF13,BF14)</f>
        <v/>
      </c>
      <c r="BE33" s="25" t="n"/>
      <c r="BF33" s="26">
        <f>SUM(BD33,BE33)</f>
        <v/>
      </c>
      <c r="BG33" s="27">
        <f>SUM(BF33,BG31)</f>
        <v/>
      </c>
      <c r="BI33" s="80" t="inlineStr">
        <is>
          <t>Sa</t>
        </is>
      </c>
      <c r="BJ33" s="80">
        <f>SUM(BL6,BL7,BL8,BL9,BL10,BL11,BL12,BL13,BL14)</f>
        <v/>
      </c>
      <c r="BK33" s="25" t="n"/>
      <c r="BL33" s="26">
        <f>SUM(BJ33,BK33)</f>
        <v/>
      </c>
      <c r="BM33" s="27">
        <f>SUM(BL33,BM31)</f>
        <v/>
      </c>
      <c r="BO33" s="80" t="inlineStr">
        <is>
          <t>Sa</t>
        </is>
      </c>
      <c r="BP33" s="80">
        <f>SUM(BR6,BR7,BR8,BR9,BR10,BR11,BR12,BR13,BR14)</f>
        <v/>
      </c>
      <c r="BQ33" s="25" t="n"/>
      <c r="BR33" s="26">
        <f>SUM(BP33,BQ33)</f>
        <v/>
      </c>
      <c r="BS33" s="27">
        <f>SUM(BR33,BS31)</f>
        <v/>
      </c>
      <c r="BU33" s="80" t="inlineStr">
        <is>
          <t>Sa</t>
        </is>
      </c>
      <c r="BV33" s="80">
        <f>SUM(BX6,BX7,BX8,BX9,BX10,BX11,BX12,BX13,BX14)</f>
        <v/>
      </c>
      <c r="BW33" s="25" t="n"/>
      <c r="BX33" s="26">
        <f>SUM(BV33,BW33)</f>
        <v/>
      </c>
      <c r="BY33" s="27">
        <f>SUM(BX33,BY31)</f>
        <v/>
      </c>
      <c r="CA33" s="80" t="inlineStr">
        <is>
          <t>Sa</t>
        </is>
      </c>
      <c r="CB33" s="80">
        <f>SUM(CD6,CD7,CD8,CD9,CD10,CD11,CD12,CD13,CD14)</f>
        <v/>
      </c>
      <c r="CC33" s="25" t="n"/>
      <c r="CD33" s="26">
        <f>SUM(CB33,CC33)</f>
        <v/>
      </c>
      <c r="CE33" s="27">
        <f>SUM(CD33,CE31)</f>
        <v/>
      </c>
      <c r="CG33" s="80" t="inlineStr">
        <is>
          <t>Sa</t>
        </is>
      </c>
      <c r="CH33" s="80">
        <f>SUM(CJ6,CJ7,CJ8,CJ9,CJ10,CJ11,CJ12,CJ13,CJ14)</f>
        <v/>
      </c>
      <c r="CI33" s="25" t="n"/>
      <c r="CJ33" s="26">
        <f>SUM(CH33,CI33)</f>
        <v/>
      </c>
      <c r="CK33" s="27">
        <f>SUM(CJ33,CK31)</f>
        <v/>
      </c>
      <c r="CM33" s="80" t="inlineStr">
        <is>
          <t>Sa</t>
        </is>
      </c>
      <c r="CN33" s="80">
        <f>SUM(CP6,CP7,CP8,CP9,CP10,CP11,CP12,CP13,CP14)</f>
        <v/>
      </c>
      <c r="CO33" s="25" t="n"/>
      <c r="CP33" s="26">
        <f>SUM(CN33,CO33)</f>
        <v/>
      </c>
      <c r="CQ33" s="27">
        <f>SUM(CP33,CQ31)</f>
        <v/>
      </c>
      <c r="CS33" s="80" t="inlineStr">
        <is>
          <t>Sa</t>
        </is>
      </c>
      <c r="CT33" s="80">
        <f>SUM(CV6,CV7,CV8,CV9,CV10,CV11,CV12,CV13,CV14)</f>
        <v/>
      </c>
      <c r="CU33" s="25" t="n"/>
      <c r="CV33" s="26">
        <f>SUM(CT33,CU33)</f>
        <v/>
      </c>
      <c r="CW33" s="27">
        <f>SUM(CV33,CW31)</f>
        <v/>
      </c>
      <c r="CY33" s="80" t="inlineStr">
        <is>
          <t>Sa</t>
        </is>
      </c>
      <c r="CZ33" s="80">
        <f>SUM(DB6,DB7,DB8,DB9,DB10,DB11,DB12,DB13,DB14)</f>
        <v/>
      </c>
      <c r="DA33" s="25" t="n"/>
      <c r="DB33" s="26">
        <f>SUM(CZ33,DA33)</f>
        <v/>
      </c>
      <c r="DC33" s="27">
        <f>SUM(DB33,DC31)</f>
        <v/>
      </c>
      <c r="DE33" s="80" t="inlineStr">
        <is>
          <t>Sa</t>
        </is>
      </c>
      <c r="DF33" s="80">
        <f>SUM(DH6,DH7,DH8,DH9,DH10,DH11,DH12,DH13,DH14)</f>
        <v/>
      </c>
      <c r="DG33" s="25" t="n"/>
      <c r="DH33" s="26">
        <f>SUM(DF33,DG33)</f>
        <v/>
      </c>
      <c r="DI33" s="27">
        <f>SUM(DH33,DI31)</f>
        <v/>
      </c>
      <c r="DK33" s="80" t="inlineStr">
        <is>
          <t>Sa</t>
        </is>
      </c>
      <c r="DL33" s="80">
        <f>SUM(DN6,DN7,DN8,DN9,DN10,DN11,DN12,DN13,DN14)</f>
        <v/>
      </c>
      <c r="DM33" s="25" t="n"/>
      <c r="DN33" s="26">
        <f>SUM(DL33,DM33)</f>
        <v/>
      </c>
      <c r="DO33" s="27">
        <f>SUM(DN33,DO31)</f>
        <v/>
      </c>
      <c r="DQ33" s="80" t="inlineStr">
        <is>
          <t>Sa</t>
        </is>
      </c>
      <c r="DR33" s="80">
        <f>SUM(DT6,DT7,DT8,DT9,DT10,DT11,DT12,DT13,DT14)</f>
        <v/>
      </c>
      <c r="DS33" s="25" t="n"/>
      <c r="DT33" s="26">
        <f>SUM(DR33,DS33)</f>
        <v/>
      </c>
      <c r="DU33" s="27">
        <f>SUM(DT33,DU31)</f>
        <v/>
      </c>
      <c r="DW33" s="80" t="inlineStr">
        <is>
          <t>Sa</t>
        </is>
      </c>
      <c r="DX33" s="80">
        <f>SUM(DZ6,DZ7,DZ8,DZ9,DZ10,DZ11,DZ12,DZ13,DZ14)</f>
        <v/>
      </c>
      <c r="DY33" s="25" t="n"/>
      <c r="DZ33" s="26">
        <f>SUM(DX33,DY33)</f>
        <v/>
      </c>
      <c r="EA33" s="27">
        <f>SUM(DZ33,EA31)</f>
        <v/>
      </c>
      <c r="EC33" s="80" t="inlineStr">
        <is>
          <t>Sa</t>
        </is>
      </c>
      <c r="ED33" s="80">
        <f>SUM(EF6,EF7,EF8,EF9,EF10,EF11,EF12,EF13,EF14)</f>
        <v/>
      </c>
      <c r="EE33" s="25" t="n"/>
      <c r="EF33" s="26">
        <f>SUM(ED33,EE33)</f>
        <v/>
      </c>
      <c r="EG33" s="27">
        <f>SUM(EF33,EG31)</f>
        <v/>
      </c>
      <c r="EI33" s="80" t="inlineStr">
        <is>
          <t>Sa</t>
        </is>
      </c>
      <c r="EJ33" s="80">
        <f>SUM(EL6,EL7,EL8,EL9,EL10,EL11,EL12,EL13,EL14)</f>
        <v/>
      </c>
      <c r="EK33" s="25" t="n"/>
      <c r="EL33" s="26">
        <f>SUM(EJ33,EK33)</f>
        <v/>
      </c>
      <c r="EM33" s="27">
        <f>SUM(EL33,EM31)</f>
        <v/>
      </c>
      <c r="EO33" s="80" t="inlineStr">
        <is>
          <t>Sa</t>
        </is>
      </c>
      <c r="EP33" s="80">
        <f>SUM(ER6,ER7,ER8,ER9,ER10,ER11,ER12,ER13,ER14)</f>
        <v/>
      </c>
      <c r="EQ33" s="25" t="n"/>
      <c r="ER33" s="26">
        <f>SUM(EP33,EQ33)</f>
        <v/>
      </c>
      <c r="ES33" s="27">
        <f>SUM(ER33,ES31)</f>
        <v/>
      </c>
      <c r="EU33" s="80" t="inlineStr">
        <is>
          <t>Sa</t>
        </is>
      </c>
      <c r="EV33" s="80">
        <f>SUM(EX6,EX7,EX8,EX9,EX10,EX11,EX12,EX13,EX14)</f>
        <v/>
      </c>
      <c r="EW33" s="25" t="n"/>
      <c r="EX33" s="26">
        <f>SUM(EV33,EW33)</f>
        <v/>
      </c>
      <c r="EY33" s="27">
        <f>SUM(EX33,EY31)</f>
        <v/>
      </c>
      <c r="FA33" s="80" t="inlineStr">
        <is>
          <t>Sa</t>
        </is>
      </c>
      <c r="FB33" s="80">
        <f>SUM(FD6,FD7,FD8,FD9,FD10,FD11,FD12,FD13,FD14)</f>
        <v/>
      </c>
      <c r="FC33" s="25" t="n"/>
      <c r="FD33" s="26">
        <f>SUM(FB33,FC33)</f>
        <v/>
      </c>
      <c r="FE33" s="27">
        <f>SUM(FD33,FE31)</f>
        <v/>
      </c>
      <c r="FG33" s="80" t="inlineStr">
        <is>
          <t>Sa</t>
        </is>
      </c>
      <c r="FH33" s="80">
        <f>SUM(FJ6,FJ7,FJ8,FJ9,FJ10,FJ11,FJ12,FJ13,FJ14)</f>
        <v/>
      </c>
      <c r="FI33" s="25" t="n"/>
      <c r="FJ33" s="26">
        <f>SUM(FH33,FI33)</f>
        <v/>
      </c>
      <c r="FK33" s="27">
        <f>SUM(FJ33,FK31)</f>
        <v/>
      </c>
      <c r="FM33" s="80" t="inlineStr">
        <is>
          <t>Sa</t>
        </is>
      </c>
      <c r="FN33" s="80">
        <f>SUM(FP6,FP7,FP8,FP9,FP10,FP11,FP12,FP13,FP14)</f>
        <v/>
      </c>
      <c r="FO33" s="25" t="n"/>
      <c r="FP33" s="26">
        <f>SUM(FN33,FO33)</f>
        <v/>
      </c>
      <c r="FQ33" s="27">
        <f>SUM(FP33,FQ31)</f>
        <v/>
      </c>
      <c r="FS33" s="80" t="inlineStr">
        <is>
          <t>Sa</t>
        </is>
      </c>
      <c r="FT33" s="80">
        <f>SUM(FV6,FV7,FV8,FV9,FV10,FV11,FV12,FV13,FV14)</f>
        <v/>
      </c>
      <c r="FU33" s="25" t="n"/>
      <c r="FV33" s="26">
        <f>SUM(FT33,FU33)</f>
        <v/>
      </c>
      <c r="FW33" s="27">
        <f>SUM(FV33,FW31)</f>
        <v/>
      </c>
      <c r="FY33" s="80" t="inlineStr">
        <is>
          <t>Sa</t>
        </is>
      </c>
      <c r="FZ33" s="80">
        <f>SUM(GB6,GB7,GB8,GB9,GB10,GB11,GB12,GB13,GB14)</f>
        <v/>
      </c>
      <c r="GA33" s="25" t="n"/>
      <c r="GB33" s="26">
        <f>SUM(FZ33,GA33)</f>
        <v/>
      </c>
      <c r="GC33" s="27">
        <f>SUM(GB33,GC31)</f>
        <v/>
      </c>
      <c r="GE33" s="80" t="inlineStr">
        <is>
          <t>Sa</t>
        </is>
      </c>
      <c r="GF33" s="80">
        <f>SUM(GH6,GH7,GH8,GH9,GH10,GH11,GH12,GH13,GH14)</f>
        <v/>
      </c>
      <c r="GG33" s="25" t="n"/>
      <c r="GH33" s="26">
        <f>SUM(GF33,GG33)</f>
        <v/>
      </c>
      <c r="GI33" s="27">
        <f>SUM(GH33,GI31)</f>
        <v/>
      </c>
      <c r="GK33" s="80" t="inlineStr">
        <is>
          <t>Sa</t>
        </is>
      </c>
      <c r="GL33" s="80">
        <f>SUM(GN6,GN7,GN8,GN9,GN10,GN11,GN12,GN13,GN14)</f>
        <v/>
      </c>
      <c r="GM33" s="25" t="n"/>
      <c r="GN33" s="26">
        <f>SUM(GL33,GM33)</f>
        <v/>
      </c>
      <c r="GO33" s="27">
        <f>SUM(GN33,GO31)</f>
        <v/>
      </c>
      <c r="GQ33" s="80" t="inlineStr">
        <is>
          <t>Sa</t>
        </is>
      </c>
      <c r="GR33" s="80">
        <f>SUM(GT6,GT7,GT8,GT9,GT10,GT11,GT12,GT13,GT14)</f>
        <v/>
      </c>
      <c r="GS33" s="25" t="n"/>
      <c r="GT33" s="26">
        <f>SUM(GR33,GS33)</f>
        <v/>
      </c>
      <c r="GU33" s="27">
        <f>SUM(GT33,GU31)</f>
        <v/>
      </c>
    </row>
    <row r="34">
      <c r="B34" s="85" t="inlineStr">
        <is>
          <t>per whatsapp oder sms:</t>
        </is>
      </c>
      <c r="C34" s="8" t="n"/>
      <c r="D34" s="7" t="n"/>
      <c r="M34" s="22" t="n"/>
      <c r="N34" s="22" t="n"/>
      <c r="O34" s="22" t="n"/>
      <c r="P34" s="23" t="n"/>
      <c r="Q34" s="24" t="n"/>
      <c r="S34" s="22" t="n"/>
      <c r="T34" s="22" t="n"/>
      <c r="U34" s="22" t="n"/>
      <c r="V34" s="23" t="n"/>
      <c r="W34" s="24" t="n"/>
      <c r="Y34" s="22" t="n"/>
      <c r="Z34" s="22" t="n"/>
      <c r="AA34" s="22" t="n"/>
      <c r="AB34" s="23" t="n"/>
      <c r="AC34" s="24" t="n"/>
      <c r="AE34" s="22" t="n"/>
      <c r="AF34" s="22" t="n"/>
      <c r="AG34" s="22" t="n"/>
      <c r="AH34" s="23" t="n"/>
      <c r="AI34" s="24" t="n"/>
      <c r="AK34" s="22" t="n"/>
      <c r="AL34" s="22" t="n"/>
      <c r="AM34" s="22" t="n"/>
      <c r="AN34" s="23" t="n"/>
      <c r="AO34" s="24" t="n"/>
      <c r="AQ34" s="22" t="n"/>
      <c r="AR34" s="22" t="n"/>
      <c r="AS34" s="22" t="n"/>
      <c r="AT34" s="23" t="n"/>
      <c r="AU34" s="24" t="n"/>
      <c r="AW34" s="22" t="n"/>
      <c r="AX34" s="22" t="n"/>
      <c r="AY34" s="22" t="n"/>
      <c r="AZ34" s="23" t="n"/>
      <c r="BA34" s="24" t="n"/>
      <c r="BC34" s="22" t="n"/>
      <c r="BD34" s="22" t="n"/>
      <c r="BE34" s="22" t="n"/>
      <c r="BF34" s="23" t="n"/>
      <c r="BG34" s="24" t="n"/>
      <c r="BI34" s="22" t="n"/>
      <c r="BJ34" s="22" t="n"/>
      <c r="BK34" s="22" t="n"/>
      <c r="BL34" s="23" t="n"/>
      <c r="BM34" s="24" t="n"/>
      <c r="BO34" s="22" t="n"/>
      <c r="BP34" s="22" t="n"/>
      <c r="BQ34" s="22" t="n"/>
      <c r="BR34" s="23" t="n"/>
      <c r="BS34" s="24" t="n"/>
      <c r="BU34" s="22" t="n"/>
      <c r="BV34" s="22" t="n"/>
      <c r="BW34" s="22" t="n"/>
      <c r="BX34" s="23" t="n"/>
      <c r="BY34" s="24" t="n"/>
      <c r="CA34" s="22" t="n"/>
      <c r="CB34" s="22" t="n"/>
      <c r="CC34" s="22" t="n"/>
      <c r="CD34" s="23" t="n"/>
      <c r="CE34" s="24" t="n"/>
      <c r="CG34" s="22" t="n"/>
      <c r="CH34" s="22" t="n"/>
      <c r="CI34" s="22" t="n"/>
      <c r="CJ34" s="23" t="n"/>
      <c r="CK34" s="24" t="n"/>
      <c r="CM34" s="22" t="n"/>
      <c r="CN34" s="22" t="n"/>
      <c r="CO34" s="22" t="n"/>
      <c r="CP34" s="23" t="n"/>
      <c r="CQ34" s="24" t="n"/>
      <c r="CS34" s="22" t="n"/>
      <c r="CT34" s="22" t="n"/>
      <c r="CU34" s="22" t="n"/>
      <c r="CV34" s="23" t="n"/>
      <c r="CW34" s="24" t="n"/>
      <c r="CY34" s="22" t="n"/>
      <c r="CZ34" s="22" t="n"/>
      <c r="DA34" s="22" t="n"/>
      <c r="DB34" s="23" t="n"/>
      <c r="DC34" s="24" t="n"/>
      <c r="DE34" s="22" t="n"/>
      <c r="DF34" s="22" t="n"/>
      <c r="DG34" s="22" t="n"/>
      <c r="DH34" s="23" t="n"/>
      <c r="DI34" s="24" t="n"/>
      <c r="DK34" s="22" t="n"/>
      <c r="DL34" s="22" t="n"/>
      <c r="DM34" s="22" t="n"/>
      <c r="DN34" s="23" t="n"/>
      <c r="DO34" s="24" t="n"/>
      <c r="DQ34" s="22" t="n"/>
      <c r="DR34" s="22" t="n"/>
      <c r="DS34" s="22" t="n"/>
      <c r="DT34" s="23" t="n"/>
      <c r="DU34" s="24" t="n"/>
      <c r="DW34" s="22" t="n"/>
      <c r="DX34" s="22" t="n"/>
      <c r="DY34" s="22" t="n"/>
      <c r="DZ34" s="23" t="n"/>
      <c r="EA34" s="24" t="n"/>
      <c r="EC34" s="22" t="n"/>
      <c r="ED34" s="22" t="n"/>
      <c r="EE34" s="22" t="n"/>
      <c r="EF34" s="23" t="n"/>
      <c r="EG34" s="24" t="n"/>
      <c r="EI34" s="22" t="n"/>
      <c r="EJ34" s="22" t="n"/>
      <c r="EK34" s="22" t="n"/>
      <c r="EL34" s="23" t="n"/>
      <c r="EM34" s="24" t="n"/>
      <c r="EO34" s="22" t="n"/>
      <c r="EP34" s="22" t="n"/>
      <c r="EQ34" s="22" t="n"/>
      <c r="ER34" s="23" t="n"/>
      <c r="ES34" s="24" t="n"/>
      <c r="EU34" s="22" t="n"/>
      <c r="EV34" s="22" t="n"/>
      <c r="EW34" s="22" t="n"/>
      <c r="EX34" s="23" t="n"/>
      <c r="EY34" s="24" t="n"/>
      <c r="FA34" s="22" t="n"/>
      <c r="FB34" s="22" t="n"/>
      <c r="FC34" s="22" t="n"/>
      <c r="FD34" s="23" t="n"/>
      <c r="FE34" s="24" t="n"/>
      <c r="FG34" s="22" t="n"/>
      <c r="FH34" s="22" t="n"/>
      <c r="FI34" s="22" t="n"/>
      <c r="FJ34" s="23" t="n"/>
      <c r="FK34" s="24" t="n"/>
      <c r="FM34" s="22" t="n"/>
      <c r="FN34" s="22" t="n"/>
      <c r="FO34" s="22" t="n"/>
      <c r="FP34" s="23" t="n"/>
      <c r="FQ34" s="24" t="n"/>
      <c r="FS34" s="22" t="n"/>
      <c r="FT34" s="22" t="n"/>
      <c r="FU34" s="22" t="n"/>
      <c r="FV34" s="23" t="n"/>
      <c r="FW34" s="24" t="n"/>
      <c r="FY34" s="22" t="n"/>
      <c r="FZ34" s="22" t="n"/>
      <c r="GA34" s="22" t="n"/>
      <c r="GB34" s="23" t="n"/>
      <c r="GC34" s="24" t="n"/>
      <c r="GE34" s="22" t="n"/>
      <c r="GF34" s="22" t="n"/>
      <c r="GG34" s="22" t="n"/>
      <c r="GH34" s="23" t="n"/>
      <c r="GI34" s="24" t="n"/>
      <c r="GK34" s="22" t="n"/>
      <c r="GL34" s="22" t="n"/>
      <c r="GM34" s="22" t="n"/>
      <c r="GN34" s="23" t="n"/>
      <c r="GO34" s="24" t="n"/>
      <c r="GQ34" s="22" t="n"/>
      <c r="GR34" s="22" t="n"/>
      <c r="GS34" s="22" t="n"/>
      <c r="GT34" s="23" t="n"/>
      <c r="GU34" s="24" t="n"/>
    </row>
    <row r="35" ht="15.75" customHeight="1">
      <c r="B35" s="86" t="inlineStr">
        <is>
          <t>01717814969 (bächli)</t>
        </is>
      </c>
      <c r="D35" s="87" t="n"/>
      <c r="M35" s="80" t="inlineStr">
        <is>
          <t>So</t>
        </is>
      </c>
      <c r="N35" s="25" t="n"/>
      <c r="O35" s="25">
        <f>SUM(P18,P19,P20,P21,P22,P23,P24,P25,P26)</f>
        <v/>
      </c>
      <c r="P35" s="26">
        <f>SUM(N35,O35)</f>
        <v/>
      </c>
      <c r="Q35" s="27">
        <f>SUM(P35,Q33)</f>
        <v/>
      </c>
      <c r="S35" s="80" t="inlineStr">
        <is>
          <t>So</t>
        </is>
      </c>
      <c r="T35" s="25" t="n"/>
      <c r="U35" s="25">
        <f>SUM(V18,V19,V20,V21,V22,V23,V24,V25,V26)</f>
        <v/>
      </c>
      <c r="V35" s="26">
        <f>SUM(T35,U35)</f>
        <v/>
      </c>
      <c r="W35" s="27">
        <f>SUM(V35,W33)</f>
        <v/>
      </c>
      <c r="Y35" s="80" t="inlineStr">
        <is>
          <t>So</t>
        </is>
      </c>
      <c r="Z35" s="25" t="n"/>
      <c r="AA35" s="25">
        <f>SUM(AB18,AB19,AB20,AB21,AB22,AB23,AB24,AB25,AB26)</f>
        <v/>
      </c>
      <c r="AB35" s="26">
        <f>SUM(Z35,AA35)</f>
        <v/>
      </c>
      <c r="AC35" s="27">
        <f>SUM(AB35,AC33)</f>
        <v/>
      </c>
      <c r="AE35" s="80" t="inlineStr">
        <is>
          <t>So</t>
        </is>
      </c>
      <c r="AF35" s="25" t="n"/>
      <c r="AG35" s="25">
        <f>SUM(AH18,AH19,AH20,AH21,AH22,AH23,AH24,AH25,AH26)</f>
        <v/>
      </c>
      <c r="AH35" s="26">
        <f>SUM(AF35,AG35)</f>
        <v/>
      </c>
      <c r="AI35" s="27">
        <f>SUM(AH35,AI33)</f>
        <v/>
      </c>
      <c r="AK35" s="80" t="inlineStr">
        <is>
          <t>So</t>
        </is>
      </c>
      <c r="AL35" s="25" t="n"/>
      <c r="AM35" s="25">
        <f>SUM(AN18,AN19,AN20,AN21,AN22,AN23,AN24,AN25,AN26)</f>
        <v/>
      </c>
      <c r="AN35" s="26">
        <f>SUM(AL35,AM35)</f>
        <v/>
      </c>
      <c r="AO35" s="27">
        <f>SUM(AN35,AO33)</f>
        <v/>
      </c>
      <c r="AQ35" s="80" t="inlineStr">
        <is>
          <t>So</t>
        </is>
      </c>
      <c r="AR35" s="25" t="n"/>
      <c r="AS35" s="25">
        <f>SUM(AT18,AT19,AT20,AT21,AT22,AT23,AT24,AT25,AT26)</f>
        <v/>
      </c>
      <c r="AT35" s="26">
        <f>SUM(AR35,AS35)</f>
        <v/>
      </c>
      <c r="AU35" s="27">
        <f>SUM(AT35,AU33)</f>
        <v/>
      </c>
      <c r="AW35" s="80" t="inlineStr">
        <is>
          <t>So</t>
        </is>
      </c>
      <c r="AX35" s="25" t="n"/>
      <c r="AY35" s="25">
        <f>SUM(AZ18,AZ19,AZ20,AZ21,AZ22,AZ23,AZ24,AZ25,AZ26)</f>
        <v/>
      </c>
      <c r="AZ35" s="26">
        <f>SUM(AX35,AY35)</f>
        <v/>
      </c>
      <c r="BA35" s="27">
        <f>SUM(AZ35,BA33)</f>
        <v/>
      </c>
      <c r="BC35" s="80" t="inlineStr">
        <is>
          <t>So</t>
        </is>
      </c>
      <c r="BD35" s="25" t="n"/>
      <c r="BE35" s="25">
        <f>SUM(BF18,BF19,BF20,BF21,BF22,BF23,BF24,BF25,BF26)</f>
        <v/>
      </c>
      <c r="BF35" s="26">
        <f>SUM(BD35,BE35)</f>
        <v/>
      </c>
      <c r="BG35" s="27">
        <f>SUM(BF35,BG33)</f>
        <v/>
      </c>
      <c r="BI35" s="80" t="inlineStr">
        <is>
          <t>So</t>
        </is>
      </c>
      <c r="BJ35" s="25" t="n"/>
      <c r="BK35" s="25">
        <f>SUM(BL18,BL19,BL20,BL21,BL22,BL23,BL24,BL25,BL26)</f>
        <v/>
      </c>
      <c r="BL35" s="26">
        <f>SUM(BJ35,BK35)</f>
        <v/>
      </c>
      <c r="BM35" s="27">
        <f>SUM(BL35,BM33)</f>
        <v/>
      </c>
      <c r="BO35" s="80" t="inlineStr">
        <is>
          <t>So</t>
        </is>
      </c>
      <c r="BP35" s="25" t="n"/>
      <c r="BQ35" s="25">
        <f>SUM(BR18,BR19,BR20,BR21,BR22,BR23,BR24,BR25,BR26)</f>
        <v/>
      </c>
      <c r="BR35" s="26">
        <f>SUM(BP35,BQ35)</f>
        <v/>
      </c>
      <c r="BS35" s="27">
        <f>SUM(BR35,BS33)</f>
        <v/>
      </c>
      <c r="BU35" s="80" t="inlineStr">
        <is>
          <t>So</t>
        </is>
      </c>
      <c r="BV35" s="25" t="n"/>
      <c r="BW35" s="25">
        <f>SUM(BX18,BX19,BX20,BX21,BX22,BX23,BX24,BX25,BX26)</f>
        <v/>
      </c>
      <c r="BX35" s="26">
        <f>SUM(BV35,BW35)</f>
        <v/>
      </c>
      <c r="BY35" s="27">
        <f>SUM(BX35,BY33)</f>
        <v/>
      </c>
      <c r="CA35" s="80" t="inlineStr">
        <is>
          <t>So</t>
        </is>
      </c>
      <c r="CB35" s="25" t="n"/>
      <c r="CC35" s="25">
        <f>SUM(CD18,CD19,CD20,CD21,CD22,CD23,CD24,CD25,CD26)</f>
        <v/>
      </c>
      <c r="CD35" s="26">
        <f>SUM(CB35,CC35)</f>
        <v/>
      </c>
      <c r="CE35" s="27">
        <f>SUM(CD35,CE33)</f>
        <v/>
      </c>
      <c r="CG35" s="80" t="inlineStr">
        <is>
          <t>So</t>
        </is>
      </c>
      <c r="CH35" s="25" t="n"/>
      <c r="CI35" s="25">
        <f>SUM(CJ18,CJ19,CJ20,CJ21,CJ22,CJ23,CJ24,CJ25,CJ26)</f>
        <v/>
      </c>
      <c r="CJ35" s="26">
        <f>SUM(CH35,CI35)</f>
        <v/>
      </c>
      <c r="CK35" s="27">
        <f>SUM(CJ35,CK33)</f>
        <v/>
      </c>
      <c r="CM35" s="80" t="inlineStr">
        <is>
          <t>So</t>
        </is>
      </c>
      <c r="CN35" s="25" t="n"/>
      <c r="CO35" s="25">
        <f>SUM(CP18,CP19,CP20,CP21,CP22,CP23,CP24,CP25,CP26)</f>
        <v/>
      </c>
      <c r="CP35" s="26">
        <f>SUM(CN35,CO35)</f>
        <v/>
      </c>
      <c r="CQ35" s="27">
        <f>SUM(CP35,CQ33)</f>
        <v/>
      </c>
      <c r="CS35" s="80" t="inlineStr">
        <is>
          <t>So</t>
        </is>
      </c>
      <c r="CT35" s="25" t="n"/>
      <c r="CU35" s="25">
        <f>SUM(CV18,CV19,CV20,CV21,CV22,CV23,CV24,CV25,CV26)</f>
        <v/>
      </c>
      <c r="CV35" s="26">
        <f>SUM(CT35,CU35)</f>
        <v/>
      </c>
      <c r="CW35" s="27">
        <f>SUM(CV35,CW33)</f>
        <v/>
      </c>
      <c r="CY35" s="80" t="inlineStr">
        <is>
          <t>So</t>
        </is>
      </c>
      <c r="CZ35" s="25" t="n"/>
      <c r="DA35" s="25">
        <f>SUM(DB18,DB19,DB20,DB21,DB22,DB23,DB24,DB25,DB26)</f>
        <v/>
      </c>
      <c r="DB35" s="26">
        <f>SUM(CZ35,DA35)</f>
        <v/>
      </c>
      <c r="DC35" s="27">
        <f>SUM(DB35,DC33)</f>
        <v/>
      </c>
      <c r="DE35" s="80" t="inlineStr">
        <is>
          <t>So</t>
        </is>
      </c>
      <c r="DF35" s="25" t="n"/>
      <c r="DG35" s="25">
        <f>SUM(DH18,DH19,DH20,DH21,DH22,DH23,DH24,DH25,DH26)</f>
        <v/>
      </c>
      <c r="DH35" s="26">
        <f>SUM(DF35,DG35)</f>
        <v/>
      </c>
      <c r="DI35" s="27">
        <f>SUM(DH35,DI33)</f>
        <v/>
      </c>
      <c r="DK35" s="80" t="inlineStr">
        <is>
          <t>So</t>
        </is>
      </c>
      <c r="DL35" s="25" t="n"/>
      <c r="DM35" s="25">
        <f>SUM(DN18,DN19,DN20,DN21,DN22,DN23,DN24,DN25,DN26)</f>
        <v/>
      </c>
      <c r="DN35" s="26">
        <f>SUM(DL35,DM35)</f>
        <v/>
      </c>
      <c r="DO35" s="27">
        <f>SUM(DN35,DO33)</f>
        <v/>
      </c>
      <c r="DQ35" s="80" t="inlineStr">
        <is>
          <t>So</t>
        </is>
      </c>
      <c r="DR35" s="25" t="n"/>
      <c r="DS35" s="25">
        <f>SUM(DT18,DT19,DT20,DT21,DT22,DT23,DT24,DT25,DT26)</f>
        <v/>
      </c>
      <c r="DT35" s="26">
        <f>SUM(DR35,DS35)</f>
        <v/>
      </c>
      <c r="DU35" s="27">
        <f>SUM(DT35,DU33)</f>
        <v/>
      </c>
      <c r="DW35" s="80" t="inlineStr">
        <is>
          <t>So</t>
        </is>
      </c>
      <c r="DX35" s="25" t="n"/>
      <c r="DY35" s="25">
        <f>SUM(DZ18,DZ19,DZ20,DZ21,DZ22,DZ23,DZ24,DZ25,DZ26)</f>
        <v/>
      </c>
      <c r="DZ35" s="26">
        <f>SUM(DX35,DY35)</f>
        <v/>
      </c>
      <c r="EA35" s="27">
        <f>SUM(DZ35,EA33)</f>
        <v/>
      </c>
      <c r="EC35" s="80" t="inlineStr">
        <is>
          <t>So</t>
        </is>
      </c>
      <c r="ED35" s="25" t="n"/>
      <c r="EE35" s="25">
        <f>SUM(EF18,EF19,EF20,EF21,EF22,EF23,EF24,EF25,EF26)</f>
        <v/>
      </c>
      <c r="EF35" s="26">
        <f>SUM(ED35,EE35)</f>
        <v/>
      </c>
      <c r="EG35" s="27">
        <f>SUM(EF35,EG33)</f>
        <v/>
      </c>
      <c r="EI35" s="80" t="inlineStr">
        <is>
          <t>So</t>
        </is>
      </c>
      <c r="EJ35" s="25" t="n"/>
      <c r="EK35" s="25">
        <f>SUM(EL18,EL19,EL20,EL21,EL22,EL23,EL24,EL25,EL26)</f>
        <v/>
      </c>
      <c r="EL35" s="26">
        <f>SUM(EJ35,EK35)</f>
        <v/>
      </c>
      <c r="EM35" s="27">
        <f>SUM(EL35,EM33)</f>
        <v/>
      </c>
      <c r="EO35" s="80" t="inlineStr">
        <is>
          <t>So</t>
        </is>
      </c>
      <c r="EP35" s="25" t="n"/>
      <c r="EQ35" s="25">
        <f>SUM(ER18,ER19,ER20,ER21,ER22,ER23,ER24,ER25,ER26)</f>
        <v/>
      </c>
      <c r="ER35" s="26">
        <f>SUM(EP35,EQ35)</f>
        <v/>
      </c>
      <c r="ES35" s="27">
        <f>SUM(ER35,ES33)</f>
        <v/>
      </c>
      <c r="EU35" s="80" t="inlineStr">
        <is>
          <t>So</t>
        </is>
      </c>
      <c r="EV35" s="25" t="n"/>
      <c r="EW35" s="25">
        <f>SUM(EX18,EX19,EX20,EX21,EX22,EX23,EX24,EX25,EX26)</f>
        <v/>
      </c>
      <c r="EX35" s="26">
        <f>SUM(EV35,EW35)</f>
        <v/>
      </c>
      <c r="EY35" s="27">
        <f>SUM(EX35,EY33)</f>
        <v/>
      </c>
      <c r="FA35" s="80" t="inlineStr">
        <is>
          <t>So</t>
        </is>
      </c>
      <c r="FB35" s="25" t="n"/>
      <c r="FC35" s="25">
        <f>SUM(FD18,FD19,FD20,FD21,FD22,FD23,FD24,FD25,FD26)</f>
        <v/>
      </c>
      <c r="FD35" s="26">
        <f>SUM(FB35,FC35)</f>
        <v/>
      </c>
      <c r="FE35" s="27">
        <f>SUM(FD35,FE33)</f>
        <v/>
      </c>
      <c r="FG35" s="80" t="inlineStr">
        <is>
          <t>So</t>
        </is>
      </c>
      <c r="FH35" s="25" t="n"/>
      <c r="FI35" s="25">
        <f>SUM(FJ18,FJ19,FJ20,FJ21,FJ22,FJ23,FJ24,FJ25,FJ26)</f>
        <v/>
      </c>
      <c r="FJ35" s="26">
        <f>SUM(FH35,FI35)</f>
        <v/>
      </c>
      <c r="FK35" s="27">
        <f>SUM(FJ35,FK33)</f>
        <v/>
      </c>
      <c r="FM35" s="80" t="inlineStr">
        <is>
          <t>So</t>
        </is>
      </c>
      <c r="FN35" s="25" t="n"/>
      <c r="FO35" s="25">
        <f>SUM(FP18,FP19,FP20,FP21,FP22,FP23,FP24,FP25,FP26)</f>
        <v/>
      </c>
      <c r="FP35" s="26">
        <f>SUM(FN35,FO35)</f>
        <v/>
      </c>
      <c r="FQ35" s="27">
        <f>SUM(FP35,FQ33)</f>
        <v/>
      </c>
      <c r="FS35" s="80" t="inlineStr">
        <is>
          <t>So</t>
        </is>
      </c>
      <c r="FT35" s="25" t="n"/>
      <c r="FU35" s="25">
        <f>SUM(FV18,FV19,FV20,FV21,FV22,FV23,FV24,FV25,FV26)</f>
        <v/>
      </c>
      <c r="FV35" s="26">
        <f>SUM(FT35,FU35)</f>
        <v/>
      </c>
      <c r="FW35" s="27">
        <f>SUM(FV35,FW33)</f>
        <v/>
      </c>
      <c r="FY35" s="80" t="inlineStr">
        <is>
          <t>So</t>
        </is>
      </c>
      <c r="FZ35" s="25" t="n"/>
      <c r="GA35" s="25">
        <f>SUM(GB18,GB19,GB20,GB21,GB22,GB23,GB24,GB25,GB26)</f>
        <v/>
      </c>
      <c r="GB35" s="26">
        <f>SUM(FZ35,GA35)</f>
        <v/>
      </c>
      <c r="GC35" s="27">
        <f>SUM(GB35,GC33)</f>
        <v/>
      </c>
      <c r="GE35" s="80" t="inlineStr">
        <is>
          <t>So</t>
        </is>
      </c>
      <c r="GF35" s="25" t="n"/>
      <c r="GG35" s="25">
        <f>SUM(GH18,GH19,GH20,GH21,GH22,GH23,GH24,GH25,GH26)</f>
        <v/>
      </c>
      <c r="GH35" s="26">
        <f>SUM(GF35,GG35)</f>
        <v/>
      </c>
      <c r="GI35" s="27">
        <f>SUM(GH35,GI33)</f>
        <v/>
      </c>
      <c r="GK35" s="80" t="inlineStr">
        <is>
          <t>So</t>
        </is>
      </c>
      <c r="GL35" s="25" t="n"/>
      <c r="GM35" s="25">
        <f>SUM(GN18,GN19,GN20,GN21,GN22,GN23,GN24,GN25,GN26)</f>
        <v/>
      </c>
      <c r="GN35" s="26">
        <f>SUM(GL35,GM35)</f>
        <v/>
      </c>
      <c r="GO35" s="27">
        <f>SUM(GN35,GO33)</f>
        <v/>
      </c>
      <c r="GQ35" s="80" t="inlineStr">
        <is>
          <t>So</t>
        </is>
      </c>
      <c r="GR35" s="25" t="n"/>
      <c r="GS35" s="25">
        <f>SUM(GT18,GT19,GT20,GT21,GT22,GT23,GT24,GT25,GT26)</f>
        <v/>
      </c>
      <c r="GT35" s="26">
        <f>SUM(GR35,GS35)</f>
        <v/>
      </c>
      <c r="GU35" s="27">
        <f>SUM(GT35,GU33)</f>
        <v/>
      </c>
    </row>
    <row r="36">
      <c r="B36" s="86" t="inlineStr">
        <is>
          <t>01711991816 (jukkel)</t>
        </is>
      </c>
      <c r="M36" s="22" t="n"/>
      <c r="N36" s="22" t="n"/>
      <c r="O36" s="22" t="n"/>
      <c r="P36" s="23" t="n"/>
      <c r="Q36" s="24" t="n"/>
      <c r="S36" s="22" t="n"/>
      <c r="T36" s="22" t="n"/>
      <c r="U36" s="22" t="n"/>
      <c r="V36" s="23" t="n"/>
      <c r="W36" s="24" t="n"/>
      <c r="Y36" s="22" t="n"/>
      <c r="Z36" s="22" t="n"/>
      <c r="AA36" s="22" t="n"/>
      <c r="AB36" s="23" t="n"/>
      <c r="AC36" s="24" t="n"/>
      <c r="AE36" s="22" t="n"/>
      <c r="AF36" s="22" t="n"/>
      <c r="AG36" s="22" t="n"/>
      <c r="AH36" s="23" t="n"/>
      <c r="AI36" s="24" t="n"/>
      <c r="AK36" s="22" t="n"/>
      <c r="AL36" s="22" t="n"/>
      <c r="AM36" s="22" t="n"/>
      <c r="AN36" s="23" t="n"/>
      <c r="AO36" s="24" t="n"/>
      <c r="AQ36" s="22" t="n"/>
      <c r="AR36" s="22" t="n"/>
      <c r="AS36" s="22" t="n"/>
      <c r="AT36" s="23" t="n"/>
      <c r="AU36" s="24" t="n"/>
      <c r="AW36" s="22" t="n"/>
      <c r="AX36" s="22" t="n"/>
      <c r="AY36" s="22" t="n"/>
      <c r="AZ36" s="23" t="n"/>
      <c r="BA36" s="24" t="n"/>
      <c r="BC36" s="22" t="n"/>
      <c r="BD36" s="22" t="n"/>
      <c r="BE36" s="22" t="n"/>
      <c r="BF36" s="23" t="n"/>
      <c r="BG36" s="24" t="n"/>
      <c r="BI36" s="22" t="n"/>
      <c r="BJ36" s="22" t="n"/>
      <c r="BK36" s="22" t="n"/>
      <c r="BL36" s="23" t="n"/>
      <c r="BM36" s="24" t="n"/>
      <c r="BO36" s="22" t="n"/>
      <c r="BP36" s="22" t="n"/>
      <c r="BQ36" s="22" t="n"/>
      <c r="BR36" s="23" t="n"/>
      <c r="BS36" s="24" t="n"/>
      <c r="BU36" s="22" t="n"/>
      <c r="BV36" s="22" t="n"/>
      <c r="BW36" s="22" t="n"/>
      <c r="BX36" s="23" t="n"/>
      <c r="BY36" s="24" t="n"/>
      <c r="CA36" s="22" t="n"/>
      <c r="CB36" s="22" t="n"/>
      <c r="CC36" s="22" t="n"/>
      <c r="CD36" s="23" t="n"/>
      <c r="CE36" s="24" t="n"/>
      <c r="CG36" s="22" t="n"/>
      <c r="CH36" s="22" t="n"/>
      <c r="CI36" s="22" t="n"/>
      <c r="CJ36" s="23" t="n"/>
      <c r="CK36" s="24" t="n"/>
      <c r="CM36" s="22" t="n"/>
      <c r="CN36" s="22" t="n"/>
      <c r="CO36" s="22" t="n"/>
      <c r="CP36" s="23" t="n"/>
      <c r="CQ36" s="24" t="n"/>
      <c r="CS36" s="22" t="n"/>
      <c r="CT36" s="22" t="n"/>
      <c r="CU36" s="22" t="n"/>
      <c r="CV36" s="23" t="n"/>
      <c r="CW36" s="24" t="n"/>
      <c r="CY36" s="22" t="n"/>
      <c r="CZ36" s="22" t="n"/>
      <c r="DA36" s="22" t="n"/>
      <c r="DB36" s="23" t="n"/>
      <c r="DC36" s="24" t="n"/>
      <c r="DE36" s="22" t="n"/>
      <c r="DF36" s="22" t="n"/>
      <c r="DG36" s="22" t="n"/>
      <c r="DH36" s="23" t="n"/>
      <c r="DI36" s="24" t="n"/>
      <c r="DK36" s="22" t="n"/>
      <c r="DL36" s="22" t="n"/>
      <c r="DM36" s="22" t="n"/>
      <c r="DN36" s="23" t="n"/>
      <c r="DO36" s="24" t="n"/>
      <c r="DQ36" s="22" t="n"/>
      <c r="DR36" s="22" t="n"/>
      <c r="DS36" s="22" t="n"/>
      <c r="DT36" s="23" t="n"/>
      <c r="DU36" s="24" t="n"/>
      <c r="DW36" s="22" t="n"/>
      <c r="DX36" s="22" t="n"/>
      <c r="DY36" s="22" t="n"/>
      <c r="DZ36" s="23" t="n"/>
      <c r="EA36" s="24" t="n"/>
      <c r="EC36" s="22" t="n"/>
      <c r="ED36" s="22" t="n"/>
      <c r="EE36" s="22" t="n"/>
      <c r="EF36" s="23" t="n"/>
      <c r="EG36" s="24" t="n"/>
      <c r="EI36" s="22" t="n"/>
      <c r="EJ36" s="22" t="n"/>
      <c r="EK36" s="22" t="n"/>
      <c r="EL36" s="23" t="n"/>
      <c r="EM36" s="24" t="n"/>
      <c r="EO36" s="22" t="n"/>
      <c r="EP36" s="22" t="n"/>
      <c r="EQ36" s="22" t="n"/>
      <c r="ER36" s="23" t="n"/>
      <c r="ES36" s="24" t="n"/>
      <c r="EU36" s="22" t="n"/>
      <c r="EV36" s="22" t="n"/>
      <c r="EW36" s="22" t="n"/>
      <c r="EX36" s="23" t="n"/>
      <c r="EY36" s="24" t="n"/>
      <c r="FA36" s="22" t="n"/>
      <c r="FB36" s="22" t="n"/>
      <c r="FC36" s="22" t="n"/>
      <c r="FD36" s="23" t="n"/>
      <c r="FE36" s="24" t="n"/>
      <c r="FG36" s="22" t="n"/>
      <c r="FH36" s="22" t="n"/>
      <c r="FI36" s="22" t="n"/>
      <c r="FJ36" s="23" t="n"/>
      <c r="FK36" s="24" t="n"/>
      <c r="FM36" s="22" t="n"/>
      <c r="FN36" s="22" t="n"/>
      <c r="FO36" s="22" t="n"/>
      <c r="FP36" s="23" t="n"/>
      <c r="FQ36" s="24" t="n"/>
      <c r="FS36" s="22" t="n"/>
      <c r="FT36" s="22" t="n"/>
      <c r="FU36" s="22" t="n"/>
      <c r="FV36" s="23" t="n"/>
      <c r="FW36" s="24" t="n"/>
      <c r="FY36" s="22" t="n"/>
      <c r="FZ36" s="22" t="n"/>
      <c r="GA36" s="22" t="n"/>
      <c r="GB36" s="23" t="n"/>
      <c r="GC36" s="24" t="n"/>
      <c r="GE36" s="22" t="n"/>
      <c r="GF36" s="22" t="n"/>
      <c r="GG36" s="22" t="n"/>
      <c r="GH36" s="23" t="n"/>
      <c r="GI36" s="24" t="n"/>
      <c r="GK36" s="22" t="n"/>
      <c r="GL36" s="22" t="n"/>
      <c r="GM36" s="22" t="n"/>
      <c r="GN36" s="23" t="n"/>
      <c r="GO36" s="24" t="n"/>
      <c r="GQ36" s="22" t="n"/>
      <c r="GR36" s="22" t="n"/>
      <c r="GS36" s="22" t="n"/>
      <c r="GT36" s="23" t="n"/>
      <c r="GU36" s="24" t="n"/>
    </row>
    <row r="37" ht="15.75" customHeight="1" thickBot="1">
      <c r="M37" s="81" t="inlineStr">
        <is>
          <t>Mo</t>
        </is>
      </c>
      <c r="N37" s="28" t="n"/>
      <c r="O37" s="28" t="n"/>
      <c r="P37" s="29">
        <f>SUM(N37,O37)</f>
        <v/>
      </c>
      <c r="Q37" s="30">
        <f>SUM(P37,Q35)</f>
        <v/>
      </c>
      <c r="S37" s="81" t="inlineStr">
        <is>
          <t>Mo</t>
        </is>
      </c>
      <c r="T37" s="28" t="n"/>
      <c r="U37" s="28" t="n"/>
      <c r="V37" s="29">
        <f>SUM(T37,U37)</f>
        <v/>
      </c>
      <c r="W37" s="30">
        <f>SUM(V37,W35)</f>
        <v/>
      </c>
      <c r="Y37" s="81" t="inlineStr">
        <is>
          <t>Mo</t>
        </is>
      </c>
      <c r="Z37" s="28" t="n"/>
      <c r="AA37" s="28" t="n"/>
      <c r="AB37" s="29">
        <f>SUM(Z37,AA37)</f>
        <v/>
      </c>
      <c r="AC37" s="30">
        <f>SUM(AB37,AC35)</f>
        <v/>
      </c>
      <c r="AE37" s="81" t="inlineStr">
        <is>
          <t>Mo</t>
        </is>
      </c>
      <c r="AF37" s="28" t="n"/>
      <c r="AG37" s="28" t="n"/>
      <c r="AH37" s="29">
        <f>SUM(AF37,AG37)</f>
        <v/>
      </c>
      <c r="AI37" s="30">
        <f>SUM(AH37,AI35)</f>
        <v/>
      </c>
      <c r="AK37" s="81" t="inlineStr">
        <is>
          <t>Mo</t>
        </is>
      </c>
      <c r="AL37" s="28" t="n"/>
      <c r="AM37" s="28" t="n"/>
      <c r="AN37" s="29">
        <f>SUM(AL37,AM37)</f>
        <v/>
      </c>
      <c r="AO37" s="30">
        <f>SUM(AN37,AO35)</f>
        <v/>
      </c>
      <c r="AQ37" s="81" t="inlineStr">
        <is>
          <t>Mo</t>
        </is>
      </c>
      <c r="AR37" s="28" t="n"/>
      <c r="AS37" s="28" t="n"/>
      <c r="AT37" s="29">
        <f>SUM(AR37,AS37)</f>
        <v/>
      </c>
      <c r="AU37" s="30">
        <f>SUM(AT37,AU35)</f>
        <v/>
      </c>
      <c r="AW37" s="81" t="inlineStr">
        <is>
          <t>Mo</t>
        </is>
      </c>
      <c r="AX37" s="28" t="n"/>
      <c r="AY37" s="28" t="n"/>
      <c r="AZ37" s="29">
        <f>SUM(AX37,AY37)</f>
        <v/>
      </c>
      <c r="BA37" s="30">
        <f>SUM(AZ37,BA35)</f>
        <v/>
      </c>
      <c r="BC37" s="81" t="inlineStr">
        <is>
          <t>Mo</t>
        </is>
      </c>
      <c r="BD37" s="28" t="n"/>
      <c r="BE37" s="28" t="n"/>
      <c r="BF37" s="29">
        <f>SUM(BD37,BE37)</f>
        <v/>
      </c>
      <c r="BG37" s="30">
        <f>SUM(BF37,BG35)</f>
        <v/>
      </c>
      <c r="BI37" s="81" t="inlineStr">
        <is>
          <t>Mo</t>
        </is>
      </c>
      <c r="BJ37" s="28" t="n"/>
      <c r="BK37" s="28" t="n"/>
      <c r="BL37" s="29">
        <f>SUM(BJ37,BK37)</f>
        <v/>
      </c>
      <c r="BM37" s="30">
        <f>SUM(BL37,BM35)</f>
        <v/>
      </c>
      <c r="BO37" s="81" t="inlineStr">
        <is>
          <t>Mo</t>
        </is>
      </c>
      <c r="BP37" s="28" t="n"/>
      <c r="BQ37" s="28" t="n"/>
      <c r="BR37" s="29">
        <f>SUM(BP37,BQ37)</f>
        <v/>
      </c>
      <c r="BS37" s="30">
        <f>SUM(BR37,BS35)</f>
        <v/>
      </c>
      <c r="BU37" s="81" t="inlineStr">
        <is>
          <t>Mo</t>
        </is>
      </c>
      <c r="BV37" s="28" t="n"/>
      <c r="BW37" s="28" t="n"/>
      <c r="BX37" s="29">
        <f>SUM(BV37,BW37)</f>
        <v/>
      </c>
      <c r="BY37" s="30">
        <f>SUM(BX37,BY35)</f>
        <v/>
      </c>
      <c r="CA37" s="81" t="inlineStr">
        <is>
          <t>Mo</t>
        </is>
      </c>
      <c r="CB37" s="28" t="n"/>
      <c r="CC37" s="28" t="n"/>
      <c r="CD37" s="29">
        <f>SUM(CB37,CC37)</f>
        <v/>
      </c>
      <c r="CE37" s="30">
        <f>SUM(CD37,CE35)</f>
        <v/>
      </c>
      <c r="CG37" s="81" t="inlineStr">
        <is>
          <t>Mo</t>
        </is>
      </c>
      <c r="CH37" s="28" t="n"/>
      <c r="CI37" s="28" t="n"/>
      <c r="CJ37" s="29">
        <f>SUM(CH37,CI37)</f>
        <v/>
      </c>
      <c r="CK37" s="30">
        <f>SUM(CJ37,CK35)</f>
        <v/>
      </c>
      <c r="CM37" s="81" t="inlineStr">
        <is>
          <t>Mo</t>
        </is>
      </c>
      <c r="CN37" s="28" t="n"/>
      <c r="CO37" s="28" t="n"/>
      <c r="CP37" s="29">
        <f>SUM(CN37,CO37)</f>
        <v/>
      </c>
      <c r="CQ37" s="30">
        <f>SUM(CP37,CQ35)</f>
        <v/>
      </c>
      <c r="CS37" s="81" t="inlineStr">
        <is>
          <t>Mo</t>
        </is>
      </c>
      <c r="CT37" s="28" t="n"/>
      <c r="CU37" s="28" t="n"/>
      <c r="CV37" s="29">
        <f>SUM(CT37,CU37)</f>
        <v/>
      </c>
      <c r="CW37" s="30">
        <f>SUM(CV37,CW35)</f>
        <v/>
      </c>
      <c r="CY37" s="81" t="inlineStr">
        <is>
          <t>Mo</t>
        </is>
      </c>
      <c r="CZ37" s="28" t="n"/>
      <c r="DA37" s="28" t="n"/>
      <c r="DB37" s="29">
        <f>SUM(CZ37,DA37)</f>
        <v/>
      </c>
      <c r="DC37" s="30">
        <f>SUM(DB37,DC35)</f>
        <v/>
      </c>
      <c r="DE37" s="81" t="inlineStr">
        <is>
          <t>Mo</t>
        </is>
      </c>
      <c r="DF37" s="28" t="n"/>
      <c r="DG37" s="28" t="n"/>
      <c r="DH37" s="29">
        <f>SUM(DF37,DG37)</f>
        <v/>
      </c>
      <c r="DI37" s="30">
        <f>SUM(DH37,DI35)</f>
        <v/>
      </c>
      <c r="DK37" s="81" t="inlineStr">
        <is>
          <t>Mo</t>
        </is>
      </c>
      <c r="DL37" s="28" t="n"/>
      <c r="DM37" s="28" t="n"/>
      <c r="DN37" s="29">
        <f>SUM(DL37,DM37)</f>
        <v/>
      </c>
      <c r="DO37" s="30">
        <f>SUM(DN37,DO35)</f>
        <v/>
      </c>
      <c r="DQ37" s="81" t="inlineStr">
        <is>
          <t>Mo</t>
        </is>
      </c>
      <c r="DR37" s="28" t="n"/>
      <c r="DS37" s="28" t="n"/>
      <c r="DT37" s="29">
        <f>SUM(DR37,DS37)</f>
        <v/>
      </c>
      <c r="DU37" s="30">
        <f>SUM(DT37,DU35)</f>
        <v/>
      </c>
      <c r="DW37" s="81" t="inlineStr">
        <is>
          <t>Mo</t>
        </is>
      </c>
      <c r="DX37" s="28" t="n"/>
      <c r="DY37" s="28" t="n"/>
      <c r="DZ37" s="29">
        <f>SUM(DX37,DY37)</f>
        <v/>
      </c>
      <c r="EA37" s="30">
        <f>SUM(DZ37,EA35)</f>
        <v/>
      </c>
      <c r="EC37" s="81" t="inlineStr">
        <is>
          <t>Mo</t>
        </is>
      </c>
      <c r="ED37" s="28" t="n"/>
      <c r="EE37" s="28" t="n"/>
      <c r="EF37" s="29">
        <f>SUM(ED37,EE37)</f>
        <v/>
      </c>
      <c r="EG37" s="30">
        <f>SUM(EF37,EG35)</f>
        <v/>
      </c>
      <c r="EI37" s="81" t="inlineStr">
        <is>
          <t>Mo</t>
        </is>
      </c>
      <c r="EJ37" s="28" t="n"/>
      <c r="EK37" s="28" t="n"/>
      <c r="EL37" s="29">
        <f>SUM(EJ37,EK37)</f>
        <v/>
      </c>
      <c r="EM37" s="30">
        <f>SUM(EL37,EM35)</f>
        <v/>
      </c>
      <c r="EO37" s="81" t="inlineStr">
        <is>
          <t>Mo</t>
        </is>
      </c>
      <c r="EP37" s="28" t="n"/>
      <c r="EQ37" s="28" t="n"/>
      <c r="ER37" s="29">
        <f>SUM(EP37,EQ37)</f>
        <v/>
      </c>
      <c r="ES37" s="30">
        <f>SUM(ER37,ES35)</f>
        <v/>
      </c>
      <c r="EU37" s="81" t="inlineStr">
        <is>
          <t>Mo</t>
        </is>
      </c>
      <c r="EV37" s="28" t="n"/>
      <c r="EW37" s="28" t="n"/>
      <c r="EX37" s="29">
        <f>SUM(EV37,EW37)</f>
        <v/>
      </c>
      <c r="EY37" s="30">
        <f>SUM(EX37,EY35)</f>
        <v/>
      </c>
      <c r="FA37" s="81" t="inlineStr">
        <is>
          <t>Mo</t>
        </is>
      </c>
      <c r="FB37" s="28" t="n"/>
      <c r="FC37" s="28" t="n"/>
      <c r="FD37" s="29">
        <f>SUM(FB37,FC37)</f>
        <v/>
      </c>
      <c r="FE37" s="30">
        <f>SUM(FD37,FE35)</f>
        <v/>
      </c>
      <c r="FG37" s="81" t="inlineStr">
        <is>
          <t>Mo</t>
        </is>
      </c>
      <c r="FH37" s="28" t="n"/>
      <c r="FI37" s="28" t="n"/>
      <c r="FJ37" s="29">
        <f>SUM(FH37,FI37)</f>
        <v/>
      </c>
      <c r="FK37" s="30">
        <f>SUM(FJ37,FK35)</f>
        <v/>
      </c>
      <c r="FM37" s="81" t="inlineStr">
        <is>
          <t>Mo</t>
        </is>
      </c>
      <c r="FN37" s="28" t="n"/>
      <c r="FO37" s="28" t="n"/>
      <c r="FP37" s="29">
        <f>SUM(FN37,FO37)</f>
        <v/>
      </c>
      <c r="FQ37" s="30">
        <f>SUM(FP37,FQ35)</f>
        <v/>
      </c>
      <c r="FS37" s="81" t="inlineStr">
        <is>
          <t>Mo</t>
        </is>
      </c>
      <c r="FT37" s="28" t="n"/>
      <c r="FU37" s="28" t="n"/>
      <c r="FV37" s="29">
        <f>SUM(FT37,FU37)</f>
        <v/>
      </c>
      <c r="FW37" s="30">
        <f>SUM(FV37,FW35)</f>
        <v/>
      </c>
      <c r="FY37" s="81" t="inlineStr">
        <is>
          <t>Mo</t>
        </is>
      </c>
      <c r="FZ37" s="28" t="n"/>
      <c r="GA37" s="28" t="n"/>
      <c r="GB37" s="29">
        <f>SUM(FZ37,GA37)</f>
        <v/>
      </c>
      <c r="GC37" s="30">
        <f>SUM(GB37,GC35)</f>
        <v/>
      </c>
      <c r="GE37" s="81" t="inlineStr">
        <is>
          <t>Mo</t>
        </is>
      </c>
      <c r="GF37" s="28" t="n"/>
      <c r="GG37" s="28" t="n"/>
      <c r="GH37" s="29">
        <f>SUM(GF37,GG37)</f>
        <v/>
      </c>
      <c r="GI37" s="30">
        <f>SUM(GH37,GI35)</f>
        <v/>
      </c>
      <c r="GK37" s="81" t="inlineStr">
        <is>
          <t>Mo</t>
        </is>
      </c>
      <c r="GL37" s="28" t="n"/>
      <c r="GM37" s="28" t="n"/>
      <c r="GN37" s="29">
        <f>SUM(GL37,GM37)</f>
        <v/>
      </c>
      <c r="GO37" s="30">
        <f>SUM(GN37,GO35)</f>
        <v/>
      </c>
      <c r="GQ37" s="81" t="inlineStr">
        <is>
          <t>Mo</t>
        </is>
      </c>
      <c r="GR37" s="28" t="n"/>
      <c r="GS37" s="28" t="n"/>
      <c r="GT37" s="29">
        <f>SUM(GR37,GS37)</f>
        <v/>
      </c>
      <c r="GU37" s="30">
        <f>SUM(GT37,GU35)</f>
        <v/>
      </c>
    </row>
    <row r="38" ht="15.75" customHeight="1">
      <c r="B38" s="89" t="inlineStr">
        <is>
          <t>Deadline: Eine Minute vor Beginn des</t>
        </is>
      </c>
      <c r="M38" s="22" t="n"/>
      <c r="N38" s="22" t="n"/>
      <c r="O38" s="22" t="n"/>
      <c r="P38" s="23" t="n"/>
      <c r="Q38" s="31" t="n"/>
      <c r="S38" s="22" t="n"/>
      <c r="T38" s="22" t="n"/>
      <c r="U38" s="22" t="n"/>
      <c r="V38" s="23" t="n"/>
      <c r="W38" s="31" t="n"/>
      <c r="Y38" s="22" t="n"/>
      <c r="Z38" s="22" t="n"/>
      <c r="AA38" s="22" t="n"/>
      <c r="AB38" s="23" t="n"/>
      <c r="AC38" s="31" t="n"/>
      <c r="AE38" s="22" t="n"/>
      <c r="AF38" s="22" t="n"/>
      <c r="AG38" s="22" t="n"/>
      <c r="AH38" s="23" t="n"/>
      <c r="AI38" s="31" t="n"/>
      <c r="AK38" s="22" t="n"/>
      <c r="AL38" s="22" t="n"/>
      <c r="AM38" s="22" t="n"/>
      <c r="AN38" s="23" t="n"/>
      <c r="AO38" s="31" t="n"/>
      <c r="AQ38" s="22" t="n"/>
      <c r="AR38" s="22" t="n"/>
      <c r="AS38" s="22" t="n"/>
      <c r="AT38" s="23" t="n"/>
      <c r="AU38" s="31" t="n"/>
      <c r="AW38" s="22" t="n"/>
      <c r="AX38" s="22" t="n"/>
      <c r="AY38" s="22" t="n"/>
      <c r="AZ38" s="23" t="n"/>
      <c r="BA38" s="31" t="n"/>
      <c r="BC38" s="22" t="n"/>
      <c r="BD38" s="22" t="n"/>
      <c r="BE38" s="22" t="n"/>
      <c r="BF38" s="23" t="n"/>
      <c r="BG38" s="31" t="n"/>
      <c r="BI38" s="22" t="n"/>
      <c r="BJ38" s="22" t="n"/>
      <c r="BK38" s="22" t="n"/>
      <c r="BL38" s="23" t="n"/>
      <c r="BM38" s="31" t="n"/>
      <c r="BO38" s="22" t="n"/>
      <c r="BP38" s="22" t="n"/>
      <c r="BQ38" s="22" t="n"/>
      <c r="BR38" s="23" t="n"/>
      <c r="BS38" s="31" t="n"/>
      <c r="BU38" s="22" t="n"/>
      <c r="BV38" s="22" t="n"/>
      <c r="BW38" s="22" t="n"/>
      <c r="BX38" s="23" t="n"/>
      <c r="BY38" s="31" t="n"/>
      <c r="CA38" s="22" t="n"/>
      <c r="CB38" s="22" t="n"/>
      <c r="CC38" s="22" t="n"/>
      <c r="CD38" s="23" t="n"/>
      <c r="CE38" s="31" t="n"/>
      <c r="CG38" s="22" t="n"/>
      <c r="CH38" s="22" t="n"/>
      <c r="CI38" s="22" t="n"/>
      <c r="CJ38" s="23" t="n"/>
      <c r="CK38" s="31" t="n"/>
      <c r="CM38" s="22" t="n"/>
      <c r="CN38" s="22" t="n"/>
      <c r="CO38" s="22" t="n"/>
      <c r="CP38" s="23" t="n"/>
      <c r="CQ38" s="31" t="n"/>
      <c r="CS38" s="22" t="n"/>
      <c r="CT38" s="22" t="n"/>
      <c r="CU38" s="22" t="n"/>
      <c r="CV38" s="23" t="n"/>
      <c r="CW38" s="31" t="n"/>
      <c r="CY38" s="22" t="n"/>
      <c r="CZ38" s="22" t="n"/>
      <c r="DA38" s="22" t="n"/>
      <c r="DB38" s="23" t="n"/>
      <c r="DC38" s="31" t="n"/>
      <c r="DE38" s="22" t="n"/>
      <c r="DF38" s="22" t="n"/>
      <c r="DG38" s="22" t="n"/>
      <c r="DH38" s="23" t="n"/>
      <c r="DI38" s="31" t="n"/>
      <c r="DK38" s="22" t="n"/>
      <c r="DL38" s="22" t="n"/>
      <c r="DM38" s="22" t="n"/>
      <c r="DN38" s="23" t="n"/>
      <c r="DO38" s="31" t="n"/>
      <c r="DQ38" s="22" t="n"/>
      <c r="DR38" s="22" t="n"/>
      <c r="DS38" s="22" t="n"/>
      <c r="DT38" s="23" t="n"/>
      <c r="DU38" s="31" t="n"/>
      <c r="DW38" s="22" t="n"/>
      <c r="DX38" s="22" t="n"/>
      <c r="DY38" s="22" t="n"/>
      <c r="DZ38" s="23" t="n"/>
      <c r="EA38" s="31" t="n"/>
      <c r="EC38" s="22" t="n"/>
      <c r="ED38" s="22" t="n"/>
      <c r="EE38" s="22" t="n"/>
      <c r="EF38" s="23" t="n"/>
      <c r="EG38" s="31" t="n"/>
      <c r="EI38" s="22" t="n"/>
      <c r="EJ38" s="22" t="n"/>
      <c r="EK38" s="22" t="n"/>
      <c r="EL38" s="23" t="n"/>
      <c r="EM38" s="31" t="n"/>
      <c r="EO38" s="22" t="n"/>
      <c r="EP38" s="22" t="n"/>
      <c r="EQ38" s="22" t="n"/>
      <c r="ER38" s="23" t="n"/>
      <c r="ES38" s="31" t="n"/>
      <c r="EU38" s="22" t="n"/>
      <c r="EV38" s="22" t="n"/>
      <c r="EW38" s="22" t="n"/>
      <c r="EX38" s="23" t="n"/>
      <c r="EY38" s="31" t="n"/>
      <c r="FA38" s="22" t="n"/>
      <c r="FB38" s="22" t="n"/>
      <c r="FC38" s="22" t="n"/>
      <c r="FD38" s="23" t="n"/>
      <c r="FE38" s="31" t="n"/>
      <c r="FG38" s="22" t="n"/>
      <c r="FH38" s="22" t="n"/>
      <c r="FI38" s="22" t="n"/>
      <c r="FJ38" s="23" t="n"/>
      <c r="FK38" s="31" t="n"/>
      <c r="FM38" s="22" t="n"/>
      <c r="FN38" s="22" t="n"/>
      <c r="FO38" s="22" t="n"/>
      <c r="FP38" s="23" t="n"/>
      <c r="FQ38" s="31" t="n"/>
      <c r="FS38" s="22" t="n"/>
      <c r="FT38" s="22" t="n"/>
      <c r="FU38" s="22" t="n"/>
      <c r="FV38" s="23" t="n"/>
      <c r="FW38" s="31" t="n"/>
      <c r="FY38" s="22" t="n"/>
      <c r="FZ38" s="22" t="n"/>
      <c r="GA38" s="22" t="n"/>
      <c r="GB38" s="23" t="n"/>
      <c r="GC38" s="31" t="n"/>
      <c r="GE38" s="22" t="n"/>
      <c r="GF38" s="22" t="n"/>
      <c r="GG38" s="22" t="n"/>
      <c r="GH38" s="23" t="n"/>
      <c r="GI38" s="31" t="n"/>
      <c r="GK38" s="22" t="n"/>
      <c r="GL38" s="22" t="n"/>
      <c r="GM38" s="22" t="n"/>
      <c r="GN38" s="23" t="n"/>
      <c r="GO38" s="31" t="n"/>
      <c r="GQ38" s="22" t="n"/>
      <c r="GR38" s="22" t="n"/>
      <c r="GS38" s="22" t="n"/>
      <c r="GT38" s="23" t="n"/>
      <c r="GU38" s="31" t="n"/>
    </row>
    <row r="39" ht="16.5" customHeight="1" thickBot="1">
      <c r="B39" s="89" t="inlineStr">
        <is>
          <t>ersten zum Tipptag zählenden Spiels!</t>
        </is>
      </c>
      <c r="M39" s="25" t="inlineStr">
        <is>
          <t>G</t>
        </is>
      </c>
      <c r="N39" s="25">
        <f>SUM(N31,N33,N35,N37)</f>
        <v/>
      </c>
      <c r="O39" s="25">
        <f>SUM(O31,O33,O35,O37)</f>
        <v/>
      </c>
      <c r="P39" s="26" t="n"/>
      <c r="Q39" s="30">
        <f>SUM(Q37)</f>
        <v/>
      </c>
      <c r="S39" s="25" t="inlineStr">
        <is>
          <t>G</t>
        </is>
      </c>
      <c r="T39" s="25">
        <f>SUM(T31,T33,T35,T37)</f>
        <v/>
      </c>
      <c r="U39" s="25">
        <f>SUM(U31,U33,U35,U37)</f>
        <v/>
      </c>
      <c r="V39" s="26" t="n"/>
      <c r="W39" s="30">
        <f>SUM(W37)</f>
        <v/>
      </c>
      <c r="Y39" s="25" t="inlineStr">
        <is>
          <t>G</t>
        </is>
      </c>
      <c r="Z39" s="25">
        <f>SUM(Z31,Z33,Z35,Z37)</f>
        <v/>
      </c>
      <c r="AA39" s="25">
        <f>SUM(AA31,AA33,AA35,AA37)</f>
        <v/>
      </c>
      <c r="AB39" s="26" t="n"/>
      <c r="AC39" s="30">
        <f>SUM(AC37)</f>
        <v/>
      </c>
      <c r="AE39" s="25" t="inlineStr">
        <is>
          <t>G</t>
        </is>
      </c>
      <c r="AF39" s="25">
        <f>SUM(AF31,AF33,AF35,AF37)</f>
        <v/>
      </c>
      <c r="AG39" s="25">
        <f>SUM(AG31,AG33,AG35,AG37)</f>
        <v/>
      </c>
      <c r="AH39" s="26" t="n"/>
      <c r="AI39" s="30">
        <f>SUM(AI37)</f>
        <v/>
      </c>
      <c r="AK39" s="25" t="inlineStr">
        <is>
          <t>G</t>
        </is>
      </c>
      <c r="AL39" s="25">
        <f>SUM(AL31,AL33,AL35,AL37)</f>
        <v/>
      </c>
      <c r="AM39" s="25">
        <f>SUM(AM31,AM33,AM35,AM37)</f>
        <v/>
      </c>
      <c r="AN39" s="26" t="n"/>
      <c r="AO39" s="30">
        <f>SUM(AO37)</f>
        <v/>
      </c>
      <c r="AQ39" s="25" t="inlineStr">
        <is>
          <t>G</t>
        </is>
      </c>
      <c r="AR39" s="25">
        <f>SUM(AR31,AR33,AR35,AR37)</f>
        <v/>
      </c>
      <c r="AS39" s="25">
        <f>SUM(AS31,AS33,AS35,AS37)</f>
        <v/>
      </c>
      <c r="AT39" s="26" t="n"/>
      <c r="AU39" s="30">
        <f>SUM(AU37)</f>
        <v/>
      </c>
      <c r="AW39" s="25" t="inlineStr">
        <is>
          <t>G</t>
        </is>
      </c>
      <c r="AX39" s="25">
        <f>SUM(AX31,AX33,AX35,AX37)</f>
        <v/>
      </c>
      <c r="AY39" s="25">
        <f>SUM(AY31,AY33,AY35,AY37)</f>
        <v/>
      </c>
      <c r="AZ39" s="26" t="n"/>
      <c r="BA39" s="30">
        <f>SUM(BA37)</f>
        <v/>
      </c>
      <c r="BC39" s="25" t="inlineStr">
        <is>
          <t>G</t>
        </is>
      </c>
      <c r="BD39" s="25">
        <f>SUM(BD31,BD33,BD35,BD37)</f>
        <v/>
      </c>
      <c r="BE39" s="25">
        <f>SUM(BE31,BE33,BE35,BE37)</f>
        <v/>
      </c>
      <c r="BF39" s="26" t="n"/>
      <c r="BG39" s="30">
        <f>SUM(BG37)</f>
        <v/>
      </c>
      <c r="BI39" s="25" t="inlineStr">
        <is>
          <t>G</t>
        </is>
      </c>
      <c r="BJ39" s="25">
        <f>SUM(BJ31,BJ33,BJ35,BJ37)</f>
        <v/>
      </c>
      <c r="BK39" s="25">
        <f>SUM(BK31,BK33,BK35,BK37)</f>
        <v/>
      </c>
      <c r="BL39" s="26" t="n"/>
      <c r="BM39" s="30">
        <f>SUM(BM37)</f>
        <v/>
      </c>
      <c r="BO39" s="25" t="inlineStr">
        <is>
          <t>G</t>
        </is>
      </c>
      <c r="BP39" s="25">
        <f>SUM(BP31,BP33,BP35,BP37)</f>
        <v/>
      </c>
      <c r="BQ39" s="25">
        <f>SUM(BQ31,BQ33,BQ35,BQ37)</f>
        <v/>
      </c>
      <c r="BR39" s="26" t="n"/>
      <c r="BS39" s="30">
        <f>SUM(BS37)</f>
        <v/>
      </c>
      <c r="BU39" s="25" t="inlineStr">
        <is>
          <t>G</t>
        </is>
      </c>
      <c r="BV39" s="25">
        <f>SUM(BV31,BV33,BV35,BV37)</f>
        <v/>
      </c>
      <c r="BW39" s="25">
        <f>SUM(BW31,BW33,BW35,BW37)</f>
        <v/>
      </c>
      <c r="BX39" s="26" t="n"/>
      <c r="BY39" s="30">
        <f>SUM(BY37)</f>
        <v/>
      </c>
      <c r="CA39" s="25" t="inlineStr">
        <is>
          <t>G</t>
        </is>
      </c>
      <c r="CB39" s="25">
        <f>SUM(CB31,CB33,CB35,CB37)</f>
        <v/>
      </c>
      <c r="CC39" s="25">
        <f>SUM(CC31,CC33,CC35,CC37)</f>
        <v/>
      </c>
      <c r="CD39" s="26" t="n"/>
      <c r="CE39" s="30">
        <f>SUM(CE37)</f>
        <v/>
      </c>
      <c r="CG39" s="25" t="inlineStr">
        <is>
          <t>G</t>
        </is>
      </c>
      <c r="CH39" s="25">
        <f>SUM(CH31,CH33,CH35,CH37)</f>
        <v/>
      </c>
      <c r="CI39" s="25">
        <f>SUM(CI31,CI33,CI35,CI37)</f>
        <v/>
      </c>
      <c r="CJ39" s="26" t="n"/>
      <c r="CK39" s="30">
        <f>SUM(CK37)</f>
        <v/>
      </c>
      <c r="CM39" s="25" t="inlineStr">
        <is>
          <t>G</t>
        </is>
      </c>
      <c r="CN39" s="25">
        <f>SUM(CN31,CN33,CN35,CN37)</f>
        <v/>
      </c>
      <c r="CO39" s="25">
        <f>SUM(CO31,CO33,CO35,CO37)</f>
        <v/>
      </c>
      <c r="CP39" s="26" t="n"/>
      <c r="CQ39" s="30">
        <f>SUM(CQ37)</f>
        <v/>
      </c>
      <c r="CS39" s="25" t="inlineStr">
        <is>
          <t>G</t>
        </is>
      </c>
      <c r="CT39" s="25">
        <f>SUM(CT31,CT33,CT35,CT37)</f>
        <v/>
      </c>
      <c r="CU39" s="25">
        <f>SUM(CU31,CU33,CU35,CU37)</f>
        <v/>
      </c>
      <c r="CV39" s="26" t="n"/>
      <c r="CW39" s="30">
        <f>SUM(CW37)</f>
        <v/>
      </c>
      <c r="CY39" s="25" t="inlineStr">
        <is>
          <t>G</t>
        </is>
      </c>
      <c r="CZ39" s="25">
        <f>SUM(CZ31,CZ33,CZ35,CZ37)</f>
        <v/>
      </c>
      <c r="DA39" s="25">
        <f>SUM(DA31,DA33,DA35,DA37)</f>
        <v/>
      </c>
      <c r="DB39" s="26" t="n"/>
      <c r="DC39" s="30">
        <f>SUM(DC37)</f>
        <v/>
      </c>
      <c r="DE39" s="25" t="inlineStr">
        <is>
          <t>G</t>
        </is>
      </c>
      <c r="DF39" s="25">
        <f>SUM(DF31,DF33,DF35,DF37)</f>
        <v/>
      </c>
      <c r="DG39" s="25">
        <f>SUM(DG31,DG33,DG35,DG37)</f>
        <v/>
      </c>
      <c r="DH39" s="26" t="n"/>
      <c r="DI39" s="30">
        <f>SUM(DI37)</f>
        <v/>
      </c>
      <c r="DK39" s="25" t="inlineStr">
        <is>
          <t>G</t>
        </is>
      </c>
      <c r="DL39" s="25">
        <f>SUM(DL31,DL33,DL35,DL37)</f>
        <v/>
      </c>
      <c r="DM39" s="25">
        <f>SUM(DM31,DM33,DM35,DM37)</f>
        <v/>
      </c>
      <c r="DN39" s="26" t="n"/>
      <c r="DO39" s="30">
        <f>SUM(DO37)</f>
        <v/>
      </c>
      <c r="DQ39" s="25" t="inlineStr">
        <is>
          <t>G</t>
        </is>
      </c>
      <c r="DR39" s="25">
        <f>SUM(DR31,DR33,DR35,DR37)</f>
        <v/>
      </c>
      <c r="DS39" s="25">
        <f>SUM(DS31,DS33,DS35,DS37)</f>
        <v/>
      </c>
      <c r="DT39" s="26" t="n"/>
      <c r="DU39" s="30">
        <f>SUM(DU37)</f>
        <v/>
      </c>
      <c r="DW39" s="25" t="inlineStr">
        <is>
          <t>G</t>
        </is>
      </c>
      <c r="DX39" s="25">
        <f>SUM(DX31,DX33,DX35,DX37)</f>
        <v/>
      </c>
      <c r="DY39" s="25">
        <f>SUM(DY31,DY33,DY35,DY37)</f>
        <v/>
      </c>
      <c r="DZ39" s="26" t="n"/>
      <c r="EA39" s="30">
        <f>SUM(EA37)</f>
        <v/>
      </c>
      <c r="EC39" s="25" t="inlineStr">
        <is>
          <t>G</t>
        </is>
      </c>
      <c r="ED39" s="25">
        <f>SUM(ED31,ED33,ED35,ED37)</f>
        <v/>
      </c>
      <c r="EE39" s="25">
        <f>SUM(EE31,EE33,EE35,EE37)</f>
        <v/>
      </c>
      <c r="EF39" s="26" t="n"/>
      <c r="EG39" s="30">
        <f>SUM(EG37)</f>
        <v/>
      </c>
      <c r="EI39" s="25" t="inlineStr">
        <is>
          <t>G</t>
        </is>
      </c>
      <c r="EJ39" s="25">
        <f>SUM(EJ31,EJ33,EJ35,EJ37)</f>
        <v/>
      </c>
      <c r="EK39" s="25">
        <f>SUM(EK31,EK33,EK35,EK37)</f>
        <v/>
      </c>
      <c r="EL39" s="26" t="n"/>
      <c r="EM39" s="30">
        <f>SUM(EM37)</f>
        <v/>
      </c>
      <c r="EO39" s="25" t="inlineStr">
        <is>
          <t>G</t>
        </is>
      </c>
      <c r="EP39" s="25">
        <f>SUM(EP31,EP33,EP35,EP37)</f>
        <v/>
      </c>
      <c r="EQ39" s="25">
        <f>SUM(EQ31,EQ33,EQ35,EQ37)</f>
        <v/>
      </c>
      <c r="ER39" s="26" t="n"/>
      <c r="ES39" s="30">
        <f>SUM(ES37)</f>
        <v/>
      </c>
      <c r="EU39" s="25" t="inlineStr">
        <is>
          <t>G</t>
        </is>
      </c>
      <c r="EV39" s="25">
        <f>SUM(EV31,EV33,EV35,EV37)</f>
        <v/>
      </c>
      <c r="EW39" s="25">
        <f>SUM(EW31,EW33,EW35,EW37)</f>
        <v/>
      </c>
      <c r="EX39" s="26" t="n"/>
      <c r="EY39" s="30">
        <f>SUM(EY37)</f>
        <v/>
      </c>
      <c r="FA39" s="25" t="inlineStr">
        <is>
          <t>G</t>
        </is>
      </c>
      <c r="FB39" s="25">
        <f>SUM(FB31,FB33,FB35,FB37)</f>
        <v/>
      </c>
      <c r="FC39" s="25">
        <f>SUM(FC31,FC33,FC35,FC37)</f>
        <v/>
      </c>
      <c r="FD39" s="26" t="n"/>
      <c r="FE39" s="30">
        <f>SUM(FE37)</f>
        <v/>
      </c>
      <c r="FG39" s="25" t="inlineStr">
        <is>
          <t>G</t>
        </is>
      </c>
      <c r="FH39" s="25">
        <f>SUM(FH31,FH33,FH35,FH37)</f>
        <v/>
      </c>
      <c r="FI39" s="25">
        <f>SUM(FI31,FI33,FI35,FI37)</f>
        <v/>
      </c>
      <c r="FJ39" s="26" t="n"/>
      <c r="FK39" s="30">
        <f>SUM(FK37)</f>
        <v/>
      </c>
      <c r="FM39" s="25" t="inlineStr">
        <is>
          <t>G</t>
        </is>
      </c>
      <c r="FN39" s="25">
        <f>SUM(FN31,FN33,FN35,FN37)</f>
        <v/>
      </c>
      <c r="FO39" s="25">
        <f>SUM(FO31,FO33,FO35,FO37)</f>
        <v/>
      </c>
      <c r="FP39" s="26" t="n"/>
      <c r="FQ39" s="30">
        <f>SUM(FQ37)</f>
        <v/>
      </c>
      <c r="FS39" s="25" t="inlineStr">
        <is>
          <t>G</t>
        </is>
      </c>
      <c r="FT39" s="25">
        <f>SUM(FT31,FT33,FT35,FT37)</f>
        <v/>
      </c>
      <c r="FU39" s="25">
        <f>SUM(FU31,FU33,FU35,FU37)</f>
        <v/>
      </c>
      <c r="FV39" s="26" t="n"/>
      <c r="FW39" s="30">
        <f>SUM(FW37)</f>
        <v/>
      </c>
      <c r="FY39" s="25" t="inlineStr">
        <is>
          <t>G</t>
        </is>
      </c>
      <c r="FZ39" s="25">
        <f>SUM(FZ31,FZ33,FZ35,FZ37)</f>
        <v/>
      </c>
      <c r="GA39" s="25">
        <f>SUM(GA31,GA33,GA35,GA37)</f>
        <v/>
      </c>
      <c r="GB39" s="26" t="n"/>
      <c r="GC39" s="30">
        <f>SUM(GC37)</f>
        <v/>
      </c>
      <c r="GE39" s="25" t="inlineStr">
        <is>
          <t>G</t>
        </is>
      </c>
      <c r="GF39" s="25">
        <f>SUM(GF31,GF33,GF35,GF37)</f>
        <v/>
      </c>
      <c r="GG39" s="25">
        <f>SUM(GG31,GG33,GG35,GG37)</f>
        <v/>
      </c>
      <c r="GH39" s="26" t="n"/>
      <c r="GI39" s="30">
        <f>SUM(GI37)</f>
        <v/>
      </c>
      <c r="GK39" s="25" t="inlineStr">
        <is>
          <t>G</t>
        </is>
      </c>
      <c r="GL39" s="25">
        <f>SUM(GL31,GL33,GL35,GL37)</f>
        <v/>
      </c>
      <c r="GM39" s="25">
        <f>SUM(GM31,GM33,GM35,GM37)</f>
        <v/>
      </c>
      <c r="GN39" s="26" t="n"/>
      <c r="GO39" s="30">
        <f>SUM(GO37)</f>
        <v/>
      </c>
      <c r="GQ39" s="25" t="inlineStr">
        <is>
          <t>G</t>
        </is>
      </c>
      <c r="GR39" s="25">
        <f>SUM(GR31,GR33,GR35,GR37)</f>
        <v/>
      </c>
      <c r="GS39" s="25">
        <f>SUM(GS31,GS33,GS35,GS37)</f>
        <v/>
      </c>
      <c r="GT39" s="26" t="n"/>
      <c r="GU39" s="30">
        <f>SUM(GU37)</f>
        <v/>
      </c>
    </row>
    <row r="40" ht="15.75" customHeight="1">
      <c r="B40" s="4" t="inlineStr">
        <is>
          <t>Check it out!</t>
        </is>
      </c>
    </row>
    <row r="41"/>
    <row r="42"/>
  </sheetData>
  <conditionalFormatting sqref="P6:P14 P18:P26 V6:V14 V18:V26 AB6:AB14 AB18:AB26 AH6:AH14 AH18:AH26 AN6:AN14 AN18:AN26 AT6:AT14 AT18:AT26 AZ6:AZ14 AZ18:AZ26 BF6:BF14 BF18:BF26 BL6:BL14 BL18:BL26 BR6:BR14 BR18:BR26 BX6:BX14 BX18:BX26 CD6:CD14 CD18:CD26 CJ6:CJ14 CJ18:CJ26 CP6:CP14 CP18:CP26 CV6:CV14 CV18:CV26 DB6:DB14 DB18:DB26 DH6:DH14 DH18:DH26 DN6:DN14 DN18:DN26 DT6:DT14 DT18:DT26 DZ6:DZ14 DZ18:DZ26 EF6:EF14 EF18:EF26 EL6:EL14 EL18:EL26 ER6:ER14 ER18:ER26 EX6:EX14 EX18:EX26 FD6:FD14 FD18:FD26 FJ6:FJ14 FJ18:FJ26 FP6:FP14 FP18:FP26 FV6:FV14 FV18:FV26 GB6:GB14 GB18:GB26 GH6:GH14 GH18:GH26 GN6:GN14 GN18:GN26 GT6:GT14 GT18:GT26">
    <cfRule type="cellIs" priority="1" operator="equal" dxfId="2" stopIfTrue="1">
      <formula>3</formula>
    </cfRule>
    <cfRule type="cellIs" priority="2" operator="equal" dxfId="1" stopIfTrue="1">
      <formula>2</formula>
    </cfRule>
    <cfRule type="cellIs" priority="3" operator="equal" dxfId="0" stopIfTrue="1">
      <formula>1</formula>
    </cfRule>
  </conditionalFormatting>
  <printOptions horizontalCentered="1"/>
  <pageMargins left="0.984251968503937" right="0.5905511811023623" top="0.5905511811023623" bottom="0.5905511811023623" header="0.5118110236220472" footer="0.5118110236220472"/>
  <pageSetup orientation="portrait" paperSize="9" horizontalDpi="4294967292" verticalDpi="429496729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Rainer Münchenbach</dc:creator>
  <dcterms:created xmlns:dcterms="http://purl.org/dc/terms/" xmlns:xsi="http://www.w3.org/2001/XMLSchema-instance" xsi:type="dcterms:W3CDTF">2000-02-24T07:49:10Z</dcterms:created>
  <dcterms:modified xmlns:dcterms="http://purl.org/dc/terms/" xmlns:xsi="http://www.w3.org/2001/XMLSchema-instance" xsi:type="dcterms:W3CDTF">2026-07-15T11:50:49Z</dcterms:modified>
  <cp:lastModifiedBy>Rainer Münchenbach</cp:lastModifiedBy>
  <cp:lastPrinted>2016-08-08T20:08:42Z</cp:lastPrinted>
</cp:coreProperties>
</file>